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R:\git\ias\IAS\reports\bw_cloud_pam\subscription\"/>
    </mc:Choice>
  </mc:AlternateContent>
  <xr:revisionPtr revIDLastSave="0" documentId="13_ncr:1_{AFE05D66-0B5C-4D1E-9843-48DFC150A944}" xr6:coauthVersionLast="47" xr6:coauthVersionMax="47" xr10:uidLastSave="{00000000-0000-0000-0000-000000000000}"/>
  <bookViews>
    <workbookView xWindow="-120" yWindow="-120" windowWidth="29040" windowHeight="15840" xr2:uid="{00000000-000D-0000-FFFF-FFFF00000000}"/>
  </bookViews>
  <sheets>
    <sheet name="Main" sheetId="9" r:id="rId1"/>
    <sheet name="SafeOwner KPIs" sheetId="7" r:id="rId2"/>
    <sheet name="data" sheetId="6" state="hidden" r:id="rId3"/>
    <sheet name="safes" sheetId="1" r:id="rId4"/>
    <sheet name="users" sheetId="2" r:id="rId5"/>
    <sheet name="groups" sheetId="3" r:id="rId6"/>
    <sheet name="credentials" sheetId="4" r:id="rId7"/>
    <sheet name="controldefects" sheetId="5" r:id="rId8"/>
  </sheets>
  <definedNames>
    <definedName name="_xlnm._FilterDatabase" localSheetId="7" hidden="1">controldefects!$A$1:$AH$133</definedName>
    <definedName name="_xlnm._FilterDatabase" localSheetId="6" hidden="1">credentials!$A$1:$AN$106</definedName>
    <definedName name="_xlnm._FilterDatabase" localSheetId="5" hidden="1">groups!$A$1:$AS$12</definedName>
    <definedName name="_xlnm._FilterDatabase" localSheetId="3" hidden="1">safes!$A$1:$Y$4</definedName>
    <definedName name="_xlnm._FilterDatabase" localSheetId="4" hidden="1">users!$A$1:$BI$39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H25" i="6" l="1"/>
  <c r="F25" i="6"/>
  <c r="D25" i="6"/>
  <c r="B25" i="6"/>
  <c r="B38" i="6"/>
  <c r="B37" i="6"/>
  <c r="B14" i="6"/>
  <c r="E32" i="6" l="1"/>
  <c r="F32" i="6" s="1"/>
  <c r="E33" i="6"/>
  <c r="F33" i="6" s="1"/>
  <c r="E34" i="6"/>
  <c r="F34" i="6" s="1"/>
  <c r="E35" i="6"/>
  <c r="F35" i="6" s="1"/>
  <c r="E36" i="6"/>
  <c r="F36" i="6" s="1"/>
  <c r="E37" i="6"/>
  <c r="F37" i="6" s="1"/>
  <c r="E38" i="6"/>
  <c r="F38" i="6" s="1"/>
  <c r="E39" i="6"/>
  <c r="F39" i="6" s="1"/>
  <c r="E40" i="6"/>
  <c r="F40" i="6" s="1"/>
  <c r="E41" i="6"/>
  <c r="F41" i="6" s="1"/>
  <c r="E42" i="6"/>
  <c r="F42" i="6" s="1"/>
  <c r="E43" i="6"/>
  <c r="F43" i="6" s="1"/>
  <c r="E44" i="6"/>
  <c r="F44" i="6" s="1"/>
  <c r="E31" i="6"/>
  <c r="F31" i="6" s="1"/>
  <c r="D32" i="6"/>
  <c r="D33" i="6"/>
  <c r="D34" i="6"/>
  <c r="D35" i="6"/>
  <c r="D36" i="6"/>
  <c r="D37" i="6"/>
  <c r="D38" i="6"/>
  <c r="D39" i="6"/>
  <c r="D40" i="6"/>
  <c r="D41" i="6"/>
  <c r="D42" i="6"/>
  <c r="D43" i="6"/>
  <c r="D44" i="6"/>
  <c r="D31" i="6"/>
  <c r="F27" i="6"/>
  <c r="E27" i="6" s="1"/>
  <c r="D27" i="6"/>
  <c r="C27" i="6" s="1"/>
  <c r="H27" i="6"/>
  <c r="C25" i="6"/>
  <c r="H23" i="6"/>
  <c r="F23" i="6"/>
  <c r="D23" i="6"/>
  <c r="B27" i="6"/>
  <c r="B23" i="6"/>
  <c r="B32" i="6" s="1"/>
  <c r="C32" i="6" s="1"/>
  <c r="B19" i="6"/>
  <c r="H19" i="6"/>
  <c r="F19" i="6"/>
  <c r="D19" i="6"/>
  <c r="C19" i="6" s="1"/>
  <c r="H18" i="6"/>
  <c r="F18" i="6"/>
  <c r="D18" i="6"/>
  <c r="D9" i="6"/>
  <c r="F9" i="6"/>
  <c r="H9" i="6"/>
  <c r="H11" i="6"/>
  <c r="H8" i="6"/>
  <c r="F8" i="6"/>
  <c r="D8" i="6"/>
  <c r="B18" i="6"/>
  <c r="B42" i="6" s="1"/>
  <c r="C42" i="6" s="1"/>
  <c r="H12" i="6"/>
  <c r="G12" i="6" s="1"/>
  <c r="F12" i="6"/>
  <c r="D12" i="6"/>
  <c r="C12" i="6" s="1"/>
  <c r="F11" i="6"/>
  <c r="D11" i="6"/>
  <c r="B8" i="6"/>
  <c r="B39" i="6" s="1"/>
  <c r="B12" i="6"/>
  <c r="B11" i="6"/>
  <c r="B9" i="6"/>
  <c r="B4" i="6"/>
  <c r="B44" i="6" s="1"/>
  <c r="B26" i="6" l="1"/>
  <c r="B36" i="6"/>
  <c r="C36" i="6" s="1"/>
  <c r="C44" i="6"/>
  <c r="B31" i="6"/>
  <c r="C31" i="6" s="1"/>
  <c r="C41" i="6"/>
  <c r="B33" i="6"/>
  <c r="C33" i="6" s="1"/>
  <c r="B34" i="6"/>
  <c r="C34" i="6" s="1"/>
  <c r="C39" i="6"/>
  <c r="B35" i="6"/>
  <c r="C35" i="6" s="1"/>
  <c r="C37" i="6"/>
  <c r="C38" i="6"/>
  <c r="B24" i="6"/>
  <c r="B41" i="6"/>
  <c r="B43" i="6"/>
  <c r="C43" i="6" s="1"/>
  <c r="G23" i="6"/>
  <c r="G25" i="6"/>
  <c r="G27" i="6"/>
  <c r="C23" i="6"/>
  <c r="G18" i="6"/>
  <c r="E23" i="6"/>
  <c r="E25" i="6"/>
  <c r="E12" i="6"/>
  <c r="E19" i="6"/>
  <c r="G19" i="6"/>
  <c r="C18" i="6"/>
  <c r="E18" i="6"/>
  <c r="H10" i="6"/>
  <c r="H13" i="6" s="1"/>
  <c r="E8" i="6"/>
  <c r="F10" i="6"/>
  <c r="F13" i="6" s="1"/>
  <c r="D10" i="6"/>
  <c r="D13" i="6" s="1"/>
  <c r="C9" i="6"/>
  <c r="C11" i="6"/>
  <c r="E11" i="6"/>
  <c r="E9" i="6"/>
  <c r="G11" i="6"/>
  <c r="G9" i="6"/>
  <c r="C8" i="6"/>
  <c r="G8" i="6"/>
  <c r="B10" i="6"/>
  <c r="C10" i="6" l="1"/>
  <c r="C13" i="6" s="1"/>
  <c r="B13" i="6"/>
  <c r="G10" i="6"/>
  <c r="G13" i="6" s="1"/>
  <c r="E10" i="6"/>
  <c r="E13" i="6" s="1"/>
  <c r="B3"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Sebastien FAIVRE</author>
    <author>Damien BESSON</author>
  </authors>
  <commentList>
    <comment ref="C16" authorId="0" shapeId="0" xr:uid="{BB8B3E86-FEC1-4D56-B96E-8165DE4B56D9}">
      <text>
        <r>
          <rPr>
            <sz val="9"/>
            <color rgb="FF000000"/>
            <rFont val="Tahoma"/>
            <charset val="1"/>
          </rPr>
          <t>General information about my safes (note: all users are considered here, including potential users who have never logged into CyberArk).</t>
        </r>
      </text>
    </comment>
    <comment ref="J16" authorId="1" shapeId="0" xr:uid="{EA26A507-F715-497B-8588-81BDB8265606}">
      <text>
        <r>
          <rPr>
            <sz val="9"/>
            <color indexed="81"/>
            <rFont val="Tahoma"/>
            <family val="2"/>
          </rPr>
          <t>List of safes you own. The first column indicates if the safe is new, modified, removed, identical as compared with the last time an analysis has been performed by PAM Booster. The last columns represent all the KPIs on this safe in a way that you can leverage excel filtering options to perform ad-hoc analysis.</t>
        </r>
      </text>
    </comment>
    <comment ref="C17" authorId="1" shapeId="0" xr:uid="{C08044F0-4BCC-40B0-99D9-633019260E66}">
      <text>
        <r>
          <rPr>
            <sz val="9"/>
            <color indexed="81"/>
            <rFont val="Tahoma"/>
            <family val="2"/>
          </rPr>
          <t>The number of new users with regard to the previous data ingestion by PAM Booster is presented here. This KPI is available by user type: EPV, AIM for Application, Booking for all users that have never logged into CyberArk and other user types.</t>
        </r>
      </text>
    </comment>
    <comment ref="J17" authorId="0" shapeId="0" xr:uid="{B3F7E798-D44F-4295-B7B8-4DA8909D5198}">
      <text>
        <r>
          <rPr>
            <sz val="9"/>
            <color rgb="FF000000"/>
            <rFont val="Tahoma"/>
            <charset val="1"/>
          </rPr>
          <t>List of users with access permissions to your safes. The first column indicates if the user is new, modified, removed, identical as compared with the last time an analysis has been performed by PAM Booster. The last columns represent all the KPIs applied on this user in a way that you can leverage excel filtering options to perform ad-hoc analysis.</t>
        </r>
      </text>
    </comment>
    <comment ref="C18" authorId="1" shapeId="0" xr:uid="{0B600CF9-A884-4CDA-B82C-EB4E153756B9}">
      <text>
        <r>
          <rPr>
            <sz val="9"/>
            <color indexed="81"/>
            <rFont val="Tahoma"/>
            <family val="2"/>
          </rPr>
          <t>Changes regarding groups that provide authorizations to your safe, whatever their repository is: Active Directory domains, LDAP and CyberArk.</t>
        </r>
      </text>
    </comment>
    <comment ref="J18" authorId="1" shapeId="0" xr:uid="{1B45AAA5-2BDE-4E67-BB88-10DAF26B0E02}">
      <text>
        <r>
          <rPr>
            <sz val="9"/>
            <color indexed="81"/>
            <rFont val="Tahoma"/>
            <family val="2"/>
          </rPr>
          <t>List of groups with access permissions to your safes. The first column indicates if the group is new, modified, removed, identical as compared with the last time an analysis has been performed by PAM Booster. The last columns represent all the KPIs applied on this group in a way that you can leverage excel filtering options to perform ad-hoc analysis.</t>
        </r>
      </text>
    </comment>
    <comment ref="C19" authorId="1" shapeId="0" xr:uid="{DA2CBC61-6565-4863-BA65-72F919E38A88}">
      <text>
        <r>
          <rPr>
            <sz val="9"/>
            <color indexed="81"/>
            <rFont val="Tahoma"/>
            <family val="2"/>
          </rPr>
          <t>Changes regarding credentials in your safes. Number of new credentials, number of deleted credentials and number of credentials per CPM status (failed or deactivated).</t>
        </r>
      </text>
    </comment>
    <comment ref="J19" authorId="1" shapeId="0" xr:uid="{A147626C-85B8-47CC-85CC-541E81040B82}">
      <text>
        <r>
          <rPr>
            <sz val="9"/>
            <color indexed="81"/>
            <rFont val="Tahoma"/>
            <family val="2"/>
          </rPr>
          <t>List of credentials included in your safes. The first column indicates if the credential is new, modified, removed, identical as compared with the last time an analysis has been performed by PAM Booster. The last columns represent all the KPIs applied on this credential in a way that you can leverage excel filtering options to perform ad-hoc analysis.</t>
        </r>
      </text>
    </comment>
    <comment ref="C20" authorId="0" shapeId="0" xr:uid="{64F8F8D8-E8D2-400A-80CD-46487FC86F1D}">
      <text>
        <r>
          <rPr>
            <sz val="9"/>
            <color rgb="FF000000"/>
            <rFont val="Tahoma"/>
            <charset val="1"/>
          </rPr>
          <t>Risk issues identified in my safes regarding credentials, users and contractors. For each issue, the number of defects, the number of new defects ('+x'), the percent of credentials/users/contractors in defect as compared with the total number of credentials/users/contractors, a description of the issue as well as an hyperlink to go to the detailed list is provided.</t>
        </r>
      </text>
    </comment>
    <comment ref="J20" authorId="1" shapeId="0" xr:uid="{44F53B7F-2EDE-4249-964E-D172B2E63016}">
      <text>
        <r>
          <rPr>
            <sz val="9"/>
            <color indexed="81"/>
            <rFont val="Tahoma"/>
            <family val="2"/>
          </rPr>
          <t xml:space="preserve">List of issues detected in your safes per entity. An entity can be a safe, user, group or credential. The first column indicates if the issue regarding the entity is new, modified, removed, identical as compared with the last time an analysis has been performed by PAM Booster. </t>
        </r>
      </text>
    </comment>
    <comment ref="C21" authorId="1" shapeId="0" xr:uid="{20BFC8AC-3CF7-4676-8073-2AA6E440C917}">
      <text>
        <r>
          <rPr>
            <sz val="9"/>
            <color indexed="81"/>
            <rFont val="Tahoma"/>
            <family val="2"/>
          </rPr>
          <t>Quality issues identified in my safes regarding users, groups and safes. For each issue, the number of defects, the number of new defects ('+x'), the percent of users/groups/safes in defect as compared with the total number of users/groups/safes, a description of the issue as well as an hyperlink to go to the detailed list is provided.</t>
        </r>
      </text>
    </comment>
  </commentList>
</comments>
</file>

<file path=xl/sharedStrings.xml><?xml version="1.0" encoding="utf-8"?>
<sst xmlns="http://schemas.openxmlformats.org/spreadsheetml/2006/main" count="10011" uniqueCount="929">
  <si>
    <t/>
  </si>
  <si>
    <t>status</t>
  </si>
  <si>
    <t>safe_displayname</t>
  </si>
  <si>
    <t>description</t>
  </si>
  <si>
    <t>vault_displayname</t>
  </si>
  <si>
    <t>safe_code</t>
  </si>
  <si>
    <t>sensitivitylevel</t>
  </si>
  <si>
    <t>sensitivityreason</t>
  </si>
  <si>
    <t>category</t>
  </si>
  <si>
    <t>NbCredentials</t>
  </si>
  <si>
    <t>NbCredentialsActiveCPM</t>
  </si>
  <si>
    <t>NbCredentialsWithoutCPM</t>
  </si>
  <si>
    <t>NbCredentialsFailedCPM</t>
  </si>
  <si>
    <t>NbPlatform</t>
  </si>
  <si>
    <t>NbDistinctResources</t>
  </si>
  <si>
    <t>NbUsers</t>
  </si>
  <si>
    <t>NbActiveUsers</t>
  </si>
  <si>
    <t>NbEPVusers</t>
  </si>
  <si>
    <t>NbAIMusers</t>
  </si>
  <si>
    <t>NbNonEPVandNonAIMusers</t>
  </si>
  <si>
    <t>NbBuiltinUsers</t>
  </si>
  <si>
    <t>NbGroups</t>
  </si>
  <si>
    <t>NbActiveIdentities</t>
  </si>
  <si>
    <t>NbActiveContractors</t>
  </si>
  <si>
    <t>NbOrganization</t>
  </si>
  <si>
    <t>NewCredentialsList</t>
  </si>
  <si>
    <t>Modified</t>
  </si>
  <si>
    <t>Laptops</t>
  </si>
  <si>
    <t>Credentials for Laptops</t>
  </si>
  <si>
    <t>EXTERNAL-VAULT</t>
  </si>
  <si>
    <t>Laptops_EXTERNAL-VAULT</t>
  </si>
  <si>
    <t>Meghan CANNON</t>
  </si>
  <si>
    <t>UserType</t>
  </si>
  <si>
    <t>user_identifier</t>
  </si>
  <si>
    <t>user_login</t>
  </si>
  <si>
    <t>user_username</t>
  </si>
  <si>
    <t>repository_code</t>
  </si>
  <si>
    <t>repository_displayname</t>
  </si>
  <si>
    <t>repository_repositorytype</t>
  </si>
  <si>
    <t>user_givenname</t>
  </si>
  <si>
    <t>user_surname</t>
  </si>
  <si>
    <t>user_mail</t>
  </si>
  <si>
    <t>user_service</t>
  </si>
  <si>
    <t>user_logincount</t>
  </si>
  <si>
    <t>user_lastlogindate</t>
  </si>
  <si>
    <t>user_expiredate</t>
  </si>
  <si>
    <t>user_creationdate</t>
  </si>
  <si>
    <t>user_employeenumber</t>
  </si>
  <si>
    <t>user_smartcardrequired</t>
  </si>
  <si>
    <t>user_locked</t>
  </si>
  <si>
    <t>user_badpasswordcount</t>
  </si>
  <si>
    <t>user_dontexpirepassword</t>
  </si>
  <si>
    <t>user_passwordnotrequired</t>
  </si>
  <si>
    <t>user_passwordexpired</t>
  </si>
  <si>
    <t>user_passwordcantchange</t>
  </si>
  <si>
    <t>user_passwordlastsetdate</t>
  </si>
  <si>
    <t>user_nextpwdchangedate</t>
  </si>
  <si>
    <t>recon_noownercode</t>
  </si>
  <si>
    <t>recon_leavedate</t>
  </si>
  <si>
    <t>recon_rulename</t>
  </si>
  <si>
    <t>recon_description</t>
  </si>
  <si>
    <t>recon_comment</t>
  </si>
  <si>
    <t>recon_reconciliationdate</t>
  </si>
  <si>
    <t>identity_hrcode</t>
  </si>
  <si>
    <t>identity_fullname</t>
  </si>
  <si>
    <t>identity_givenname</t>
  </si>
  <si>
    <t>identity_surname</t>
  </si>
  <si>
    <t>identity_internal</t>
  </si>
  <si>
    <t>identity_active</t>
  </si>
  <si>
    <t>identity_mail</t>
  </si>
  <si>
    <t>identity_arrivaldate</t>
  </si>
  <si>
    <t>identity_departuredate</t>
  </si>
  <si>
    <t>user_groupchanged</t>
  </si>
  <si>
    <t>user_permissionchanged</t>
  </si>
  <si>
    <t>user_bwa_accountanalytics_riskrank</t>
  </si>
  <si>
    <t>user_bwa_accountanalytics_maxrisklevel</t>
  </si>
  <si>
    <t>user_bwa_accountanalytics_nbrisks</t>
  </si>
  <si>
    <t>user_bw_pam_usermetrics_nb_safes</t>
  </si>
  <si>
    <t>user_bw_pam_usermetrics_nb_safes_cpm_inactive</t>
  </si>
  <si>
    <t>user_bw_pam_usermetrics_nb_safes_cpm_active</t>
  </si>
  <si>
    <t>user_bw_pam_usermetrics_nb_safes_use</t>
  </si>
  <si>
    <t>user_bw_pam_usermetrics_nb_safes_manage</t>
  </si>
  <si>
    <t>user_bw_pam_usermetrics_nb_secrets_cpm_inactive</t>
  </si>
  <si>
    <t>user_bw_pam_usermetrics_nb_secrets</t>
  </si>
  <si>
    <t>user_bw_pam_usermetrics_nb_secrets_cpm_active</t>
  </si>
  <si>
    <t>user_bw_pam_usermetrics_nb_resources</t>
  </si>
  <si>
    <t>user_bw_pam_usermetrics_nb_resources_cpm_inactive</t>
  </si>
  <si>
    <t>user_bw_pam_usermetrics_nb_resources_cpm_active</t>
  </si>
  <si>
    <t>user_bw_pam_usermetrics_nb_platforms</t>
  </si>
  <si>
    <t>nb_permission</t>
  </si>
  <si>
    <t>user_bwa_accountanalytics_nbdirectright</t>
  </si>
  <si>
    <t>user_bwa_accountanalytics_nbdirectgroup</t>
  </si>
  <si>
    <t>Identical</t>
  </si>
  <si>
    <t>Booking</t>
  </si>
  <si>
    <t>CN=Alexis GARDNER,OU=Users,OU=ACME,DC=acme,DC=corp</t>
  </si>
  <si>
    <t>AGARDNER14</t>
  </si>
  <si>
    <t>Alexis GARDNER</t>
  </si>
  <si>
    <t>ACME</t>
  </si>
  <si>
    <t>AD</t>
  </si>
  <si>
    <t>Alexis</t>
  </si>
  <si>
    <t>agardner14@acme.com</t>
  </si>
  <si>
    <t>false</t>
  </si>
  <si>
    <t>true</t>
  </si>
  <si>
    <t>leave</t>
  </si>
  <si>
    <t>AD_mail_mail</t>
  </si>
  <si>
    <t>identity is not working any more for the company today</t>
  </si>
  <si>
    <t>Alexis GARDNER (ID0000962)</t>
  </si>
  <si>
    <t>CN=Alfredo CASEY,OU=Users,OU=ACME,DC=acme,DC=corp</t>
  </si>
  <si>
    <t>ACASEY14</t>
  </si>
  <si>
    <t>Alfredo CASEY</t>
  </si>
  <si>
    <t>Alfredo</t>
  </si>
  <si>
    <t>acasey14@acme.com</t>
  </si>
  <si>
    <t>ID0000037</t>
  </si>
  <si>
    <t>CASEY</t>
  </si>
  <si>
    <t>CN=Allan GARRETT,OU=Users,OU=ACME,DC=acme,DC=corp</t>
  </si>
  <si>
    <t>AGARRETT12</t>
  </si>
  <si>
    <t>Allan GARRETT</t>
  </si>
  <si>
    <t>Allan</t>
  </si>
  <si>
    <t>agarrett12@acme.com</t>
  </si>
  <si>
    <t>ID0000689</t>
  </si>
  <si>
    <t>GARRETT</t>
  </si>
  <si>
    <t>New</t>
  </si>
  <si>
    <t>CN=Amber WRIGHT,OU=Users,OU=ACME,DC=acme,DC=corp</t>
  </si>
  <si>
    <t>AWRIGHT10</t>
  </si>
  <si>
    <t>Amber WRIGHT</t>
  </si>
  <si>
    <t>Amber</t>
  </si>
  <si>
    <t>awright10@acme.com</t>
  </si>
  <si>
    <t>ID0000738</t>
  </si>
  <si>
    <t>WRIGHT</t>
  </si>
  <si>
    <t>CN=Brenda SUMMERS,OU=Users,OU=ACME,DC=acme,DC=corp</t>
  </si>
  <si>
    <t>BSUMMERS20</t>
  </si>
  <si>
    <t>Brenda SUMMERS</t>
  </si>
  <si>
    <t>Brenda</t>
  </si>
  <si>
    <t>bsummers20@acme.com</t>
  </si>
  <si>
    <t>ID0000619</t>
  </si>
  <si>
    <t>SUMMERS</t>
  </si>
  <si>
    <t>CN=Celia HOPKINS,OU=Users,OU=ACME,DC=acme,DC=corp</t>
  </si>
  <si>
    <t>CHOPKINS10</t>
  </si>
  <si>
    <t>Celia HOPKINS</t>
  </si>
  <si>
    <t>Celia</t>
  </si>
  <si>
    <t>chopkins10@acme.com</t>
  </si>
  <si>
    <t>ID0000654</t>
  </si>
  <si>
    <t>HOPKINS</t>
  </si>
  <si>
    <t>CN=Desiree FLOWERS,OU=Users,OU=ACME,DC=acme,DC=corp</t>
  </si>
  <si>
    <t>DFLOWERS16</t>
  </si>
  <si>
    <t>Desiree FLOWERS</t>
  </si>
  <si>
    <t>Desiree</t>
  </si>
  <si>
    <t>AD_name_login</t>
  </si>
  <si>
    <t>ID0000832</t>
  </si>
  <si>
    <t>FLOWERS</t>
  </si>
  <si>
    <t>dflowers16@acme.com</t>
  </si>
  <si>
    <t>CN=Dustin HARDY,OU=Users,OU=ACME,DC=acme,DC=corp</t>
  </si>
  <si>
    <t>DHARDY12</t>
  </si>
  <si>
    <t>Dustin HARDY</t>
  </si>
  <si>
    <t>Dustin</t>
  </si>
  <si>
    <t>dhardy12@acme.com</t>
  </si>
  <si>
    <t>ID0000271</t>
  </si>
  <si>
    <t>HARDY</t>
  </si>
  <si>
    <t>CN=Dustin KNIGHT,OU=Users,OU=ACME,DC=acme,DC=corp</t>
  </si>
  <si>
    <t>DKNIGHT</t>
  </si>
  <si>
    <t>Dustin KNIGHT</t>
  </si>
  <si>
    <t>dknight20@acme.com</t>
  </si>
  <si>
    <t>ID0000097</t>
  </si>
  <si>
    <t>KNIGHT</t>
  </si>
  <si>
    <t>CN=Ed SANTIAGO,OU=Users,OU=ACME,DC=acme,DC=corp</t>
  </si>
  <si>
    <t>ESANTIAG16</t>
  </si>
  <si>
    <t>Ed SANTIAGO</t>
  </si>
  <si>
    <t>Ed</t>
  </si>
  <si>
    <t>esantiag16@acme.com</t>
  </si>
  <si>
    <t>ID0000071</t>
  </si>
  <si>
    <t>SANTIAGO</t>
  </si>
  <si>
    <t>CN=Emmett CRAWFORD,OU=Users,OU=ACME,DC=acme,DC=corp</t>
  </si>
  <si>
    <t>ECRAWFOR13</t>
  </si>
  <si>
    <t>Emmett CRAWFORD</t>
  </si>
  <si>
    <t>Emmett</t>
  </si>
  <si>
    <t>ecrawfor13@acme.com</t>
  </si>
  <si>
    <t>ID0000529</t>
  </si>
  <si>
    <t>CRAWFORD</t>
  </si>
  <si>
    <t>CN=Enrique WILKERSON,OU=Users,OU=ACME,DC=acme,DC=corp</t>
  </si>
  <si>
    <t>EWILKERS12</t>
  </si>
  <si>
    <t>Enrique WILKERSON</t>
  </si>
  <si>
    <t>Enrique</t>
  </si>
  <si>
    <t>ewilkers12@acme.com</t>
  </si>
  <si>
    <t>ID0000077</t>
  </si>
  <si>
    <t>WILKERSON</t>
  </si>
  <si>
    <t>CN=George BUCHANAN-adm,OU=Users,OU=ACME,DC=acme,DC=corp</t>
  </si>
  <si>
    <t>GBUCHANA-adm</t>
  </si>
  <si>
    <t>George BUCHANAN</t>
  </si>
  <si>
    <t>George</t>
  </si>
  <si>
    <t>gbuchana13@acme.com</t>
  </si>
  <si>
    <t>ID0000079</t>
  </si>
  <si>
    <t>BUCHANAN</t>
  </si>
  <si>
    <t>CN=Gilberto MASSEY,OU=Users,OU=ACME,DC=acme,DC=corp</t>
  </si>
  <si>
    <t>GMASSEY11</t>
  </si>
  <si>
    <t>Gilberto MASSEY</t>
  </si>
  <si>
    <t>Gilberto</t>
  </si>
  <si>
    <t>gmassey11@acme.com</t>
  </si>
  <si>
    <t>ID0000631</t>
  </si>
  <si>
    <t>MASSEY</t>
  </si>
  <si>
    <t>CN=Howard BELL,OU=Users,OU=ACME,DC=acme,DC=corp</t>
  </si>
  <si>
    <t>HBELL11</t>
  </si>
  <si>
    <t>Howard BELL</t>
  </si>
  <si>
    <t>Howard</t>
  </si>
  <si>
    <t>ID0000605</t>
  </si>
  <si>
    <t>BELL</t>
  </si>
  <si>
    <t>hbell11@acme.com</t>
  </si>
  <si>
    <t>CN=Jaime ROBERTSON,OU=Users,OU=ACME,DC=acme,DC=corp</t>
  </si>
  <si>
    <t>JROBERTS19</t>
  </si>
  <si>
    <t>Jaime ROBERTSON</t>
  </si>
  <si>
    <t>Jaime</t>
  </si>
  <si>
    <t>jroberts19@acme.com</t>
  </si>
  <si>
    <t>ID0000709</t>
  </si>
  <si>
    <t>ROBERTSON</t>
  </si>
  <si>
    <t>CN=Kara AGUILAR,OU=Users,OU=ACME,DC=acme,DC=corp</t>
  </si>
  <si>
    <t>KAGUILAR14</t>
  </si>
  <si>
    <t>Kara AGUILAR</t>
  </si>
  <si>
    <t>Kara</t>
  </si>
  <si>
    <t>kaguilar14@acme.com</t>
  </si>
  <si>
    <t>ID0000134</t>
  </si>
  <si>
    <t>AGUILAR</t>
  </si>
  <si>
    <t>CN=Karen POWELL,OU=Users,OU=ACME,DC=acme,DC=corp</t>
  </si>
  <si>
    <t>KPOWELL10</t>
  </si>
  <si>
    <t>Karen POWELL</t>
  </si>
  <si>
    <t>Karen</t>
  </si>
  <si>
    <t>kpowell10@acme.com</t>
  </si>
  <si>
    <t>ID0000122</t>
  </si>
  <si>
    <t>POWELL</t>
  </si>
  <si>
    <t>CN=Katie MCDANIEL,OU=Users,OU=ACME,DC=acme,DC=corp</t>
  </si>
  <si>
    <t>KMCDANIE16</t>
  </si>
  <si>
    <t>Katie MCDANIEL</t>
  </si>
  <si>
    <t>Katie</t>
  </si>
  <si>
    <t>kmcdanie16@acme.com</t>
  </si>
  <si>
    <t>Katie MCDANIEL (ID0000966)</t>
  </si>
  <si>
    <t>CN=Ken MEYER,OU=Users,OU=ACME,DC=acme,DC=corp</t>
  </si>
  <si>
    <t>KMEYER19</t>
  </si>
  <si>
    <t>Ken MEYER</t>
  </si>
  <si>
    <t>Ken</t>
  </si>
  <si>
    <t>kmeyer19@acme.com</t>
  </si>
  <si>
    <t>ID0000067</t>
  </si>
  <si>
    <t>MEYER</t>
  </si>
  <si>
    <t>CN=Kerry GARRETT,OU=Users,OU=ACME,DC=acme,DC=corp</t>
  </si>
  <si>
    <t>KGARRETT10</t>
  </si>
  <si>
    <t>Kerry GARRETT</t>
  </si>
  <si>
    <t>Kerry</t>
  </si>
  <si>
    <t>kgarrett10@acme.com</t>
  </si>
  <si>
    <t>ID0001000</t>
  </si>
  <si>
    <t>CN=Meghan CANNON,OU=Users,OU=ACME,DC=acme,DC=corp</t>
  </si>
  <si>
    <t>MCANNON18</t>
  </si>
  <si>
    <t>Meghan</t>
  </si>
  <si>
    <t>mcannon18@acme.com</t>
  </si>
  <si>
    <t>ID0000794</t>
  </si>
  <si>
    <t>CANNON</t>
  </si>
  <si>
    <t>CN=Melba MCGUIRE,OU=Users,OU=ACME,DC=acme,DC=corp</t>
  </si>
  <si>
    <t>MMCGUIRE16</t>
  </si>
  <si>
    <t>Melba MCGUIRE</t>
  </si>
  <si>
    <t>Melba</t>
  </si>
  <si>
    <t>ID0000804</t>
  </si>
  <si>
    <t>MCGUIRE</t>
  </si>
  <si>
    <t>mmcguire16@acme.com</t>
  </si>
  <si>
    <t>CN=Melissa BALL,OU=Users,OU=ACME,DC=acme,DC=corp</t>
  </si>
  <si>
    <t>MBALL13</t>
  </si>
  <si>
    <t>Melissa BALL</t>
  </si>
  <si>
    <t>Melissa</t>
  </si>
  <si>
    <t>mball13@acme.com</t>
  </si>
  <si>
    <t>ID0000560</t>
  </si>
  <si>
    <t>BALL</t>
  </si>
  <si>
    <t>CN=Neil REED,OU=Users,OU=ACME,DC=acme,DC=corp</t>
  </si>
  <si>
    <t>NREED10</t>
  </si>
  <si>
    <t>Neil REED</t>
  </si>
  <si>
    <t>Neil</t>
  </si>
  <si>
    <t>Neil REED (ID0000935)</t>
  </si>
  <si>
    <t>CN=Orlando FULLER,OU=Users,OU=ACME,DC=acme,DC=corp</t>
  </si>
  <si>
    <t>OFULLER16</t>
  </si>
  <si>
    <t>Orlando FULLER</t>
  </si>
  <si>
    <t>Orlando</t>
  </si>
  <si>
    <t>OFULLER16@acme.com</t>
  </si>
  <si>
    <t>ID0000087</t>
  </si>
  <si>
    <t>FULLER</t>
  </si>
  <si>
    <t>ofuller16@acme.com</t>
  </si>
  <si>
    <t>CN=Philip HOPKINS,OU=Users,OU=ACME,DC=acme,DC=corp</t>
  </si>
  <si>
    <t>PHOPKINS15</t>
  </si>
  <si>
    <t>Philip HOPKINS</t>
  </si>
  <si>
    <t>Philip</t>
  </si>
  <si>
    <t>ID0000825</t>
  </si>
  <si>
    <t>phopkins15@acme.com</t>
  </si>
  <si>
    <t>CN=Sadie PIERCE,OU=Users,OU=ACME,DC=acme,DC=corp</t>
  </si>
  <si>
    <t>SPIERCE18</t>
  </si>
  <si>
    <t>Sadie PIERCE</t>
  </si>
  <si>
    <t>Sadie</t>
  </si>
  <si>
    <t>spierce18@acme.com</t>
  </si>
  <si>
    <t>ID0000058</t>
  </si>
  <si>
    <t>PIERCE</t>
  </si>
  <si>
    <t>CN=Steven MURPHY,OU=Users,OU=ACME,DC=acme,DC=corp</t>
  </si>
  <si>
    <t>SMURPHY16</t>
  </si>
  <si>
    <t>Steven MURPHY</t>
  </si>
  <si>
    <t>Steven</t>
  </si>
  <si>
    <t>smurphy16@acme.com</t>
  </si>
  <si>
    <t>Steven MURPHY (ID0000991)</t>
  </si>
  <si>
    <t>CN=Sylvia QUINN,OU=Users,OU=ACME,DC=acme,DC=corp</t>
  </si>
  <si>
    <t>SQUINN20</t>
  </si>
  <si>
    <t>Sylvia QUINN</t>
  </si>
  <si>
    <t>Sylvia</t>
  </si>
  <si>
    <t>ID0000154</t>
  </si>
  <si>
    <t>QUINN</t>
  </si>
  <si>
    <t>squinn20@acme.com</t>
  </si>
  <si>
    <t>CN=Tonya HENDERSON,OU=Users,OU=ACME,DC=acme,DC=corp</t>
  </si>
  <si>
    <t>THENDERS13</t>
  </si>
  <si>
    <t>Tonya HENDERSON</t>
  </si>
  <si>
    <t>Tonya</t>
  </si>
  <si>
    <t>thenders13@acme.com</t>
  </si>
  <si>
    <t>Tonya HENDERSON (ID0000934)</t>
  </si>
  <si>
    <t>CN=Tracy CURTIS,OU=Users,OU=ACME,DC=acme,DC=corp</t>
  </si>
  <si>
    <t>TCURTIS12</t>
  </si>
  <si>
    <t>Tracy CURTIS</t>
  </si>
  <si>
    <t>Tracy</t>
  </si>
  <si>
    <t>CN=Viola ROBERTS,OU=Users,OU=ACME,DC=acme,DC=corp</t>
  </si>
  <si>
    <t>VROBERTS16</t>
  </si>
  <si>
    <t>Viola ROBERTS</t>
  </si>
  <si>
    <t>Viola</t>
  </si>
  <si>
    <t>VROBERTS16@acme.com</t>
  </si>
  <si>
    <t>ID0000086</t>
  </si>
  <si>
    <t>ROBERTS</t>
  </si>
  <si>
    <t>vroberts16@acme.com</t>
  </si>
  <si>
    <t>CN=Willie COPELAND,OU=Users,OU=ACME,DC=acme,DC=corp</t>
  </si>
  <si>
    <t>WCOPELAN14</t>
  </si>
  <si>
    <t>Willie COPELAND</t>
  </si>
  <si>
    <t>Willie</t>
  </si>
  <si>
    <t>wcopelan14@acme.com</t>
  </si>
  <si>
    <t>ID0000694</t>
  </si>
  <si>
    <t>COPELAND</t>
  </si>
  <si>
    <t>Removed</t>
  </si>
  <si>
    <t>CN=Tasha PATTERSON,OU=Users,OU=ACME,DC=acme,DC=corp</t>
  </si>
  <si>
    <t>TPATTERS20</t>
  </si>
  <si>
    <t>Tasha PATTERSON</t>
  </si>
  <si>
    <t>Tasha</t>
  </si>
  <si>
    <t>tpatters20@acme.com</t>
  </si>
  <si>
    <t>PATTERSON</t>
  </si>
  <si>
    <t>tpatters19@acme.com</t>
  </si>
  <si>
    <t>CN=Dominic WOLFE,OU=Users,OU=ACME,DC=acme,DC=corp</t>
  </si>
  <si>
    <t>dwolfe20</t>
  </si>
  <si>
    <t>Dominic WOLFE</t>
  </si>
  <si>
    <t>Dominic</t>
  </si>
  <si>
    <t>dwolfe20@acme.com</t>
  </si>
  <si>
    <t>WOLFE</t>
  </si>
  <si>
    <t>CN=Lance KNIGHT,OU=Users,OU=ACME,DC=acme,DC=corp</t>
  </si>
  <si>
    <t>LKNIGHT36</t>
  </si>
  <si>
    <t>Lance KNIGHT</t>
  </si>
  <si>
    <t>Lance</t>
  </si>
  <si>
    <t>users</t>
  </si>
  <si>
    <t>group_displayname</t>
  </si>
  <si>
    <t>group_bwa_groupmetadata_descr</t>
  </si>
  <si>
    <t>group_code</t>
  </si>
  <si>
    <t>group_sid</t>
  </si>
  <si>
    <t>group_guid</t>
  </si>
  <si>
    <t>group_comment</t>
  </si>
  <si>
    <t>group_modificationdate</t>
  </si>
  <si>
    <t>group_creationdate</t>
  </si>
  <si>
    <t>group_dynamic</t>
  </si>
  <si>
    <t>group_lastmodifiedby</t>
  </si>
  <si>
    <t>group_bwa_groupmetadata_sensitivitylevel</t>
  </si>
  <si>
    <t>group_bwa_groupmetadata_sensitivityreason</t>
  </si>
  <si>
    <t>nb_child_groups</t>
  </si>
  <si>
    <t>group_bwa_groupanalytics_nbaccount</t>
  </si>
  <si>
    <t>group_bwa_groupanalytics_nbdirectaccount</t>
  </si>
  <si>
    <t>group_bwa_groupanalytics_nbidentity</t>
  </si>
  <si>
    <t>group_bwa_groupanalytics_nbdirectidentity</t>
  </si>
  <si>
    <t>nb_contractors</t>
  </si>
  <si>
    <t>nb_organizations</t>
  </si>
  <si>
    <t>nb_safes</t>
  </si>
  <si>
    <t>nb_direct_safes</t>
  </si>
  <si>
    <t>nb_vaults</t>
  </si>
  <si>
    <t>nb_credentials</t>
  </si>
  <si>
    <t>nb_credentials_no_cpm</t>
  </si>
  <si>
    <t>nb_platforms</t>
  </si>
  <si>
    <t>nb_resources</t>
  </si>
  <si>
    <t>TechGroup</t>
  </si>
  <si>
    <t>CN=TechGroup,OU=Users,OU=ACME,DC=acme,DC=corp</t>
  </si>
  <si>
    <t>S-1-5-21-2198405017-3190945858-2291852294-1902</t>
  </si>
  <si>
    <t>b42e045e-cbc8-459f-9850-3d01045c792b</t>
  </si>
  <si>
    <t>Finance CyberArk Safes Users</t>
  </si>
  <si>
    <t>CN=Finance CyberArk Safes Users,CN=Builtin,DC=acme,DC=corp</t>
  </si>
  <si>
    <t>S-3-7-34-548</t>
  </si>
  <si>
    <t>ed815fd8-66b2-4352-922a-3364cca6cbb7</t>
  </si>
  <si>
    <t>Members can administer Finance infrastructure</t>
  </si>
  <si>
    <t>Finance Account Operators</t>
  </si>
  <si>
    <t>CN=Finance Account Operators,CN=Builtin,DC=acme,DC=corp</t>
  </si>
  <si>
    <t>S-1-5-32-548</t>
  </si>
  <si>
    <t>ed815fd7-66b2-4352-862a-2264cca6cbb7</t>
  </si>
  <si>
    <t>Members can administer finance user and group accounts</t>
  </si>
  <si>
    <t>Finance CyberArk Safes Admin</t>
  </si>
  <si>
    <t>CN=Finance CyberArk Safes Admin,CN=Builtin,DC=acme,DC=corp</t>
  </si>
  <si>
    <t>S-2-8-32-549</t>
  </si>
  <si>
    <t>ed915fd7-66b2-4353-878a-2264cca6cbb7</t>
  </si>
  <si>
    <t>Members can administer CyberArk safes containing Finance infrastructure secrets</t>
  </si>
  <si>
    <t>Quality-Admin</t>
  </si>
  <si>
    <t>CN=Quality-Admin,OU=Users,OU=ACME,DC=acme,DC=corp</t>
  </si>
  <si>
    <t>S-1-5-21-2198405017-3190945858-2291852294-1961</t>
  </si>
  <si>
    <t>16623444-0239-43d9-8aef-e2de64c9dde7</t>
  </si>
  <si>
    <t>Finance Server Administrators</t>
  </si>
  <si>
    <t>CN=Finance Server Administrators,OU=Users,OU=ACME,DC=acme,DC=corp</t>
  </si>
  <si>
    <t>S-1-5-21-2198405017-3190945858-2291852294-2116</t>
  </si>
  <si>
    <t>b8e3c465-442e-447c-b6c3-29e98f6b1878</t>
  </si>
  <si>
    <t>Windows Production Servers for Finance Application Administration Group</t>
  </si>
  <si>
    <t>EU-IT_tools</t>
  </si>
  <si>
    <t>CN=EU-IT_tools,OU=Users,OU=ACME,DC=acme,DC=corp</t>
  </si>
  <si>
    <t>S-1-5-21-2198405017-3190945858-2291852294-2118</t>
  </si>
  <si>
    <t>a6aeef41-bfec-46a2-9aa3-919fbf5aba69</t>
  </si>
  <si>
    <t>MarketArea-Europe</t>
  </si>
  <si>
    <t>CN=MarketArea-Europe,OU=Groups,OU=ACME,DC=acme,DC=corp</t>
  </si>
  <si>
    <t>S-1-5-33-2198405017-3190222258-2291852294-1963</t>
  </si>
  <si>
    <t>2d7e1444-95aa-4baa-9b22-f40415ba9f49</t>
  </si>
  <si>
    <t>Europe Market Area Team</t>
  </si>
  <si>
    <t>EU-Research-Dev</t>
  </si>
  <si>
    <t>CN=EU-Research-Dev,OU=Users,OU=ACME,DC=acme,DC=corp</t>
  </si>
  <si>
    <t>S-1-5-21-2198405017-3190945858-2291852294-2013</t>
  </si>
  <si>
    <t>2d0228c6-9bc6-4dcc-8766-783508a1e58f</t>
  </si>
  <si>
    <t>EMEA-ADMIN</t>
  </si>
  <si>
    <t>CN=EMEA-ADMIN,OU=EMEA,OU=N3,OU=N2,OU=N1,DC=acme,DC=corp</t>
  </si>
  <si>
    <t>S-1-5-50-544</t>
  </si>
  <si>
    <t>c1f73e58-fb50-407c-84e8-8ffdff891539</t>
  </si>
  <si>
    <t>CyberArk group</t>
  </si>
  <si>
    <t>groups</t>
  </si>
  <si>
    <t>credential</t>
  </si>
  <si>
    <t>cred_username</t>
  </si>
  <si>
    <t>cred_address</t>
  </si>
  <si>
    <t>cred_platformid</t>
  </si>
  <si>
    <t>cred_secrettype</t>
  </si>
  <si>
    <t>cred_automaticmanagement_enabled</t>
  </si>
  <si>
    <t>cred_managementstatus</t>
  </si>
  <si>
    <t>cred_manualmanagement_reason</t>
  </si>
  <si>
    <t>cred_lastverifiedtime</t>
  </si>
  <si>
    <t>cred_lastreconciledtime</t>
  </si>
  <si>
    <t>cred_code</t>
  </si>
  <si>
    <t>safe_description</t>
  </si>
  <si>
    <t>nb_users</t>
  </si>
  <si>
    <t>nb_epv_users</t>
  </si>
  <si>
    <t>nb_app_users</t>
  </si>
  <si>
    <t>nb_other_users</t>
  </si>
  <si>
    <t>nb_builtin_users</t>
  </si>
  <si>
    <t>nb_groups</t>
  </si>
  <si>
    <t>nb_identities</t>
  </si>
  <si>
    <t>operator@al-svr-qa-9369.roberts-parker.com</t>
  </si>
  <si>
    <t>operator</t>
  </si>
  <si>
    <t>al-svr-qa-9369.roberts-parker.com</t>
  </si>
  <si>
    <t>WinDesktopLocal</t>
  </si>
  <si>
    <t>password</t>
  </si>
  <si>
    <t>failed</t>
  </si>
  <si>
    <t>127_684_EXTERNAL-VAULT</t>
  </si>
  <si>
    <t>qa@al-svr-qa-9369.roberts-parker.com</t>
  </si>
  <si>
    <t>qa</t>
  </si>
  <si>
    <t>127_680_EXTERNAL-VAULT</t>
  </si>
  <si>
    <t>run_ops_level_02@al-svr-qa-9369.roberts-parker.com</t>
  </si>
  <si>
    <t>run_ops_level_02</t>
  </si>
  <si>
    <t>127_682_EXTERNAL-VAULT</t>
  </si>
  <si>
    <t>_report_@hn-esx-prd-6568.roberts-parker.com</t>
  </si>
  <si>
    <t>_report_</t>
  </si>
  <si>
    <t>hn-esx-prd-6568.roberts-parker.com</t>
  </si>
  <si>
    <t>127_643_EXTERNAL-VAULT</t>
  </si>
  <si>
    <t>Administrator@hn-esx-prd-6568.roberts-parker.com</t>
  </si>
  <si>
    <t>Administrator</t>
  </si>
  <si>
    <t>127_638_EXTERNAL-VAULT</t>
  </si>
  <si>
    <t>dba@lt-esx-dev-9197.roberts-parker.com</t>
  </si>
  <si>
    <t>dba</t>
  </si>
  <si>
    <t>lt-esx-dev-9197.roberts-parker.com</t>
  </si>
  <si>
    <t>127_633_EXTERNAL-VAULT</t>
  </si>
  <si>
    <t>dba_level_01@sr-ctx-prd-5142.roberts-parker.com</t>
  </si>
  <si>
    <t>dba_level_01</t>
  </si>
  <si>
    <t>sr-ctx-prd-5142.roberts-parker.com</t>
  </si>
  <si>
    <t>127_619_EXTERNAL-VAULT</t>
  </si>
  <si>
    <t>dba@to-des-prd-3745.roberts-parker.com</t>
  </si>
  <si>
    <t>to-des-prd-3745.roberts-parker.com</t>
  </si>
  <si>
    <t>127_662_EXTERNAL-VAULT</t>
  </si>
  <si>
    <t>_svc_@ua-des-dev-3219.roberts-parker.com</t>
  </si>
  <si>
    <t>_svc_</t>
  </si>
  <si>
    <t>ua-des-dev-3219.roberts-parker.com</t>
  </si>
  <si>
    <t>127_666_EXTERNAL-VAULT</t>
  </si>
  <si>
    <t>root@ua-des-dev-3219.roberts-parker.com</t>
  </si>
  <si>
    <t>root</t>
  </si>
  <si>
    <t>127_668_EXTERNAL-VAULT</t>
  </si>
  <si>
    <t>qa@ge-svr-dev-1480.roberts-parker.com</t>
  </si>
  <si>
    <t>ge-svr-dev-1480.roberts-parker.com</t>
  </si>
  <si>
    <t>inProcess</t>
  </si>
  <si>
    <t>127_686_EXTERNAL-VAULT</t>
  </si>
  <si>
    <t>guest@hn-esx-prd-6568.roberts-parker.com</t>
  </si>
  <si>
    <t>guest</t>
  </si>
  <si>
    <t>127_641_EXTERNAL-VAULT</t>
  </si>
  <si>
    <t>operator@hn-esx-prd-6568.roberts-parker.com</t>
  </si>
  <si>
    <t>127_646_EXTERNAL-VAULT</t>
  </si>
  <si>
    <t>guest@jo-ctx-qa-5577.roberts-parker.com</t>
  </si>
  <si>
    <t>jo-ctx-qa-5577.roberts-parker.com</t>
  </si>
  <si>
    <t>127_615_EXTERNAL-VAULT</t>
  </si>
  <si>
    <t>operator@mg-svr-prd-3527.roberts-parker.com</t>
  </si>
  <si>
    <t>mg-svr-prd-3527.roberts-parker.com</t>
  </si>
  <si>
    <t>127_692_EXTERNAL-VAULT</t>
  </si>
  <si>
    <t>admin@pl-des-prd-5826.roberts-parker.com</t>
  </si>
  <si>
    <t>admin</t>
  </si>
  <si>
    <t>pl-des-prd-5826.roberts-parker.com</t>
  </si>
  <si>
    <t>127_671_EXTERNAL-VAULT</t>
  </si>
  <si>
    <t>sa@zw-esx-qa-1517.roberts-parker.com</t>
  </si>
  <si>
    <t>sa</t>
  </si>
  <si>
    <t>zw-esx-qa-1517.roberts-parker.com</t>
  </si>
  <si>
    <t>127_657_EXTERNAL-VAULT</t>
  </si>
  <si>
    <t>_svc_@dj-esx-dev-0539.roberts-parker.com</t>
  </si>
  <si>
    <t>dj-esx-dev-0539.roberts-parker.com</t>
  </si>
  <si>
    <t>partiallySucceeded</t>
  </si>
  <si>
    <t>127_653_EXTERNAL-VAULT</t>
  </si>
  <si>
    <t>run_ops_level_01@dj-esx-dev-0539.roberts-parker.com</t>
  </si>
  <si>
    <t>run_ops_level_01</t>
  </si>
  <si>
    <t>127_647_EXTERNAL-VAULT</t>
  </si>
  <si>
    <t>training_02@dj-esx-dev-0539.roberts-parker.com</t>
  </si>
  <si>
    <t>training_02</t>
  </si>
  <si>
    <t>127_650_EXTERNAL-VAULT</t>
  </si>
  <si>
    <t>dba@ec-svr-dev-5046.roberts-parker.com</t>
  </si>
  <si>
    <t>ec-svr-dev-5046.roberts-parker.com</t>
  </si>
  <si>
    <t>127_699_EXTERNAL-VAULT</t>
  </si>
  <si>
    <t>sa@hn-esx-prd-6568.roberts-parker.com</t>
  </si>
  <si>
    <t>127_640_EXTERNAL-VAULT</t>
  </si>
  <si>
    <t>operator@lt-esx-dev-9197.roberts-parker.com</t>
  </si>
  <si>
    <t>127_630_EXTERNAL-VAULT</t>
  </si>
  <si>
    <t>dba@mg-svr-prd-3527.roberts-parker.com</t>
  </si>
  <si>
    <t>127_691_EXTERNAL-VAULT</t>
  </si>
  <si>
    <t>_report_@pw-hyp-dev-0754.roberts-parker.com</t>
  </si>
  <si>
    <t>pw-hyp-dev-0754.roberts-parker.com</t>
  </si>
  <si>
    <t>127_604_EXTERNAL-VAULT</t>
  </si>
  <si>
    <t>backup@sr-ctx-prd-5142.roberts-parker.com</t>
  </si>
  <si>
    <t>backup</t>
  </si>
  <si>
    <t>127_618_EXTERNAL-VAULT</t>
  </si>
  <si>
    <t>training_01@sr-ctx-prd-5142.roberts-parker.com</t>
  </si>
  <si>
    <t>training_01</t>
  </si>
  <si>
    <t>127_620_EXTERNAL-VAULT</t>
  </si>
  <si>
    <t>backup@to-des-prd-3745.roberts-parker.com</t>
  </si>
  <si>
    <t>127_663_EXTERNAL-VAULT</t>
  </si>
  <si>
    <t>_report_@al-svr-qa-9369.roberts-parker.com</t>
  </si>
  <si>
    <t>succeeded</t>
  </si>
  <si>
    <t>127_683_EXTERNAL-VAULT</t>
  </si>
  <si>
    <t>test_02@al-svr-qa-9369.roberts-parker.com</t>
  </si>
  <si>
    <t>test_02</t>
  </si>
  <si>
    <t>127_681_EXTERNAL-VAULT</t>
  </si>
  <si>
    <t>backup@dj-esx-dev-0539.roberts-parker.com</t>
  </si>
  <si>
    <t>127_648_EXTERNAL-VAULT</t>
  </si>
  <si>
    <t>root@dj-esx-dev-0539.roberts-parker.com</t>
  </si>
  <si>
    <t>127_652_EXTERNAL-VAULT</t>
  </si>
  <si>
    <t>sa@dj-esx-dev-0539.roberts-parker.com</t>
  </si>
  <si>
    <t>127_651_EXTERNAL-VAULT</t>
  </si>
  <si>
    <t>super@dj-esx-dev-0539.roberts-parker.com</t>
  </si>
  <si>
    <t>super</t>
  </si>
  <si>
    <t>127_654_EXTERNAL-VAULT</t>
  </si>
  <si>
    <t>_report_@ec-svr-dev-5046.roberts-parker.com</t>
  </si>
  <si>
    <t>127_698_EXTERNAL-VAULT</t>
  </si>
  <si>
    <t>local_adm@ec-svr-dev-5046.roberts-parker.com</t>
  </si>
  <si>
    <t>local_adm</t>
  </si>
  <si>
    <t>127_697_EXTERNAL-VAULT</t>
  </si>
  <si>
    <t>qa@ec-svr-dev-5046.roberts-parker.com</t>
  </si>
  <si>
    <t>127_700_EXTERNAL-VAULT</t>
  </si>
  <si>
    <t>run_ops_level_01@ec-svr-dev-5046.roberts-parker.com</t>
  </si>
  <si>
    <t>127_696_EXTERNAL-VAULT</t>
  </si>
  <si>
    <t>_report_@ge-svr-dev-1480.roberts-parker.com</t>
  </si>
  <si>
    <t>127_687_EXTERNAL-VAULT</t>
  </si>
  <si>
    <t>local_adm@ge-svr-dev-1480.roberts-parker.com</t>
  </si>
  <si>
    <t>127_689_EXTERNAL-VAULT</t>
  </si>
  <si>
    <t>sa@ge-svr-dev-1480.roberts-parker.com</t>
  </si>
  <si>
    <t>127_688_EXTERNAL-VAULT</t>
  </si>
  <si>
    <t>system@ge-svr-dev-1480.roberts-parker.com</t>
  </si>
  <si>
    <t>system</t>
  </si>
  <si>
    <t>127_690_EXTERNAL-VAULT</t>
  </si>
  <si>
    <t>_batch_@hn-esx-prd-6568.roberts-parker.com</t>
  </si>
  <si>
    <t>_batch_</t>
  </si>
  <si>
    <t>127_639_EXTERNAL-VAULT</t>
  </si>
  <si>
    <t>root@hn-esx-prd-6568.roberts-parker.com</t>
  </si>
  <si>
    <t>127_644_EXTERNAL-VAULT</t>
  </si>
  <si>
    <t>test_01@hn-esx-prd-6568.roberts-parker.com</t>
  </si>
  <si>
    <t>test_01</t>
  </si>
  <si>
    <t>127_642_EXTERNAL-VAULT</t>
  </si>
  <si>
    <t>system@ir-esx-prd-2576.roberts-parker.com</t>
  </si>
  <si>
    <t>ir-esx-prd-2576.roberts-parker.com</t>
  </si>
  <si>
    <t>127_655_EXTERNAL-VAULT</t>
  </si>
  <si>
    <t>operator@it-esx-stg-7787.roberts-parker.com</t>
  </si>
  <si>
    <t>it-esx-stg-7787.roberts-parker.com</t>
  </si>
  <si>
    <t>127_636_EXTERNAL-VAULT</t>
  </si>
  <si>
    <t>test_02@it-esx-stg-7787.roberts-parker.com</t>
  </si>
  <si>
    <t>127_637_EXTERNAL-VAULT</t>
  </si>
  <si>
    <t>admin@jo-ctx-qa-5577.roberts-parker.com</t>
  </si>
  <si>
    <t>127_609_EXTERNAL-VAULT</t>
  </si>
  <si>
    <t>dba_level_02@jo-ctx-qa-5577.roberts-parker.com</t>
  </si>
  <si>
    <t>dba_level_02</t>
  </si>
  <si>
    <t>127_616_EXTERNAL-VAULT</t>
  </si>
  <si>
    <t>local_adm@jo-ctx-qa-5577.roberts-parker.com</t>
  </si>
  <si>
    <t>127_614_EXTERNAL-VAULT</t>
  </si>
  <si>
    <t>operator@jo-ctx-qa-5577.roberts-parker.com</t>
  </si>
  <si>
    <t>127_610_EXTERNAL-VAULT</t>
  </si>
  <si>
    <t>root@jo-ctx-qa-5577.roberts-parker.com</t>
  </si>
  <si>
    <t>127_613_EXTERNAL-VAULT</t>
  </si>
  <si>
    <t>_svc_@lt-esx-dev-9197.roberts-parker.com</t>
  </si>
  <si>
    <t>127_635_EXTERNAL-VAULT</t>
  </si>
  <si>
    <t>dba_level_01@lt-esx-dev-9197.roberts-parker.com</t>
  </si>
  <si>
    <t>127_634_EXTERNAL-VAULT</t>
  </si>
  <si>
    <t>guest@lt-esx-dev-9197.roberts-parker.com</t>
  </si>
  <si>
    <t>127_631_EXTERNAL-VAULT</t>
  </si>
  <si>
    <t>backup@mg-svr-prd-3527.roberts-parker.com</t>
  </si>
  <si>
    <t>127_694_EXTERNAL-VAULT</t>
  </si>
  <si>
    <t>qa@mg-svr-prd-3527.roberts-parker.com</t>
  </si>
  <si>
    <t>127_695_EXTERNAL-VAULT</t>
  </si>
  <si>
    <t>test_01@mg-svr-prd-3527.roberts-parker.com</t>
  </si>
  <si>
    <t>127_693_EXTERNAL-VAULT</t>
  </si>
  <si>
    <t>_batch_@ng-des-dev-4187.roberts-parker.com</t>
  </si>
  <si>
    <t>ng-des-dev-4187.roberts-parker.com</t>
  </si>
  <si>
    <t>127_678_EXTERNAL-VAULT</t>
  </si>
  <si>
    <t>_report_@ng-des-dev-4187.roberts-parker.com</t>
  </si>
  <si>
    <t>127_674_EXTERNAL-VAULT</t>
  </si>
  <si>
    <t>admin@ng-des-dev-4187.roberts-parker.com</t>
  </si>
  <si>
    <t>127_676_EXTERNAL-VAULT</t>
  </si>
  <si>
    <t>dba@ng-des-dev-4187.roberts-parker.com</t>
  </si>
  <si>
    <t>127_675_EXTERNAL-VAULT</t>
  </si>
  <si>
    <t>super@ng-des-dev-4187.roberts-parker.com</t>
  </si>
  <si>
    <t>127_677_EXTERNAL-VAULT</t>
  </si>
  <si>
    <t>_batch_@no-ctx-qa-3554.roberts-parker.com</t>
  </si>
  <si>
    <t>no-ctx-qa-3554.roberts-parker.com</t>
  </si>
  <si>
    <t>127_629_EXTERNAL-VAULT</t>
  </si>
  <si>
    <t>admin@no-ctx-qa-3554.roberts-parker.com</t>
  </si>
  <si>
    <t>127_627_EXTERNAL-VAULT</t>
  </si>
  <si>
    <t>dba@no-ctx-qa-3554.roberts-parker.com</t>
  </si>
  <si>
    <t>127_625_EXTERNAL-VAULT</t>
  </si>
  <si>
    <t>operator@no-ctx-qa-3554.roberts-parker.com</t>
  </si>
  <si>
    <t>127_626_EXTERNAL-VAULT</t>
  </si>
  <si>
    <t>super@no-ctx-qa-3554.roberts-parker.com</t>
  </si>
  <si>
    <t>127_628_EXTERNAL-VAULT</t>
  </si>
  <si>
    <t>guest@pl-des-prd-5826.roberts-parker.com</t>
  </si>
  <si>
    <t>127_672_EXTERNAL-VAULT</t>
  </si>
  <si>
    <t>training_02@ps-ctx-prd-4403.roberts-parker.com</t>
  </si>
  <si>
    <t>ps-ctx-prd-4403.roberts-parker.com</t>
  </si>
  <si>
    <t>127_624_EXTERNAL-VAULT</t>
  </si>
  <si>
    <t>_svc_@pw-hyp-dev-0754.roberts-parker.com</t>
  </si>
  <si>
    <t>127_600_EXTERNAL-VAULT</t>
  </si>
  <si>
    <t>admin@pw-hyp-dev-0754.roberts-parker.com</t>
  </si>
  <si>
    <t>127_602_EXTERNAL-VAULT</t>
  </si>
  <si>
    <t>dba@pw-hyp-dev-0754.roberts-parker.com</t>
  </si>
  <si>
    <t>127_598_EXTERNAL-VAULT</t>
  </si>
  <si>
    <t>local_adm@pw-hyp-dev-0754.roberts-parker.com</t>
  </si>
  <si>
    <t>127_605_EXTERNAL-VAULT</t>
  </si>
  <si>
    <t>run_ops_level_02@pw-hyp-dev-0754.roberts-parker.com</t>
  </si>
  <si>
    <t>127_601_EXTERNAL-VAULT</t>
  </si>
  <si>
    <t>system@pw-hyp-dev-0754.roberts-parker.com</t>
  </si>
  <si>
    <t>127_606_EXTERNAL-VAULT</t>
  </si>
  <si>
    <t>test_01@pw-hyp-dev-0754.roberts-parker.com</t>
  </si>
  <si>
    <t>127_599_EXTERNAL-VAULT</t>
  </si>
  <si>
    <t>test_02@sk-svr-qa-6770.roberts-parker.com</t>
  </si>
  <si>
    <t>sk-svr-qa-6770.roberts-parker.com</t>
  </si>
  <si>
    <t>127_701_EXTERNAL-VAULT</t>
  </si>
  <si>
    <t>local_adm@sr-ctx-prd-5142.roberts-parker.com</t>
  </si>
  <si>
    <t>127_623_EXTERNAL-VAULT</t>
  </si>
  <si>
    <t>test_01@sr-ctx-prd-5142.roberts-parker.com</t>
  </si>
  <si>
    <t>127_622_EXTERNAL-VAULT</t>
  </si>
  <si>
    <t>_report_@to-des-prd-3745.roberts-parker.com</t>
  </si>
  <si>
    <t>127_664_EXTERNAL-VAULT</t>
  </si>
  <si>
    <t>qa@to-des-prd-3745.roberts-parker.com</t>
  </si>
  <si>
    <t>127_661_EXTERNAL-VAULT</t>
  </si>
  <si>
    <t>_batch_@tr-ctx-prd-2689.roberts-parker.com</t>
  </si>
  <si>
    <t>tr-ctx-prd-2689.roberts-parker.com</t>
  </si>
  <si>
    <t>127_607_EXTERNAL-VAULT</t>
  </si>
  <si>
    <t>Administrator@tr-ctx-prd-2689.roberts-parker.com</t>
  </si>
  <si>
    <t>127_608_EXTERNAL-VAULT</t>
  </si>
  <si>
    <t>_batch_@ua-des-dev-3219.roberts-parker.com</t>
  </si>
  <si>
    <t>127_669_EXTERNAL-VAULT</t>
  </si>
  <si>
    <t>training_02@ua-des-dev-3219.roberts-parker.com</t>
  </si>
  <si>
    <t>127_667_EXTERNAL-VAULT</t>
  </si>
  <si>
    <t>local_adm@uz-lap-qa-4747.roberts-parker.com</t>
  </si>
  <si>
    <t>uz-lap-qa-4747.roberts-parker.com</t>
  </si>
  <si>
    <t>127_660_EXTERNAL-VAULT</t>
  </si>
  <si>
    <t>training_01@uz-lap-qa-4747.roberts-parker.com</t>
  </si>
  <si>
    <t>127_659_EXTERNAL-VAULT</t>
  </si>
  <si>
    <t>_svc_@zw-esx-qa-1517.roberts-parker.com</t>
  </si>
  <si>
    <t>127_658_EXTERNAL-VAULT</t>
  </si>
  <si>
    <t>test_01@zw-esx-qa-1517.roberts-parker.com</t>
  </si>
  <si>
    <t>127_656_EXTERNAL-VAULT</t>
  </si>
  <si>
    <t>root@al-svr-qa-9369.roberts-parker.com</t>
  </si>
  <si>
    <t>CPM disabled waiting for the end of frozen period</t>
  </si>
  <si>
    <t>127_679_EXTERNAL-VAULT</t>
  </si>
  <si>
    <t>qa@dj-esx-dev-0539.roberts-parker.com</t>
  </si>
  <si>
    <t>127_649_EXTERNAL-VAULT</t>
  </si>
  <si>
    <t>test_01@ge-svr-dev-1480.roberts-parker.com</t>
  </si>
  <si>
    <t>127_685_EXTERNAL-VAULT</t>
  </si>
  <si>
    <t>super@hn-esx-prd-6568.roberts-parker.com</t>
  </si>
  <si>
    <t>127_645_EXTERNAL-VAULT</t>
  </si>
  <si>
    <t>_batch_@jo-ctx-qa-5577.roberts-parker.com</t>
  </si>
  <si>
    <t>127_617_EXTERNAL-VAULT</t>
  </si>
  <si>
    <t>dba@jo-ctx-qa-5577.roberts-parker.com</t>
  </si>
  <si>
    <t>127_612_EXTERNAL-VAULT</t>
  </si>
  <si>
    <t>super@jo-ctx-qa-5577.roberts-parker.com</t>
  </si>
  <si>
    <t>127_611_EXTERNAL-VAULT</t>
  </si>
  <si>
    <t>sa@lt-esx-dev-9197.roberts-parker.com</t>
  </si>
  <si>
    <t>127_632_EXTERNAL-VAULT</t>
  </si>
  <si>
    <t>operator@pl-des-prd-5826.roberts-parker.com</t>
  </si>
  <si>
    <t>127_673_EXTERNAL-VAULT</t>
  </si>
  <si>
    <t>Administrator@pw-hyp-dev-0754.roberts-parker.com</t>
  </si>
  <si>
    <t>127_603_EXTERNAL-VAULT</t>
  </si>
  <si>
    <t>super@sr-ctx-prd-5142.roberts-parker.com</t>
  </si>
  <si>
    <t>127_621_EXTERNAL-VAULT</t>
  </si>
  <si>
    <t>sa@to-des-prd-3745.roberts-parker.com</t>
  </si>
  <si>
    <t>127_665_EXTERNAL-VAULT</t>
  </si>
  <si>
    <t>Administrator@ua-des-dev-3219.roberts-parker.com</t>
  </si>
  <si>
    <t>127_670_EXTERNAL-VAULT</t>
  </si>
  <si>
    <t>credentials</t>
  </si>
  <si>
    <t>controlrisklevel</t>
  </si>
  <si>
    <t>controldisplayname</t>
  </si>
  <si>
    <t>EntityType</t>
  </si>
  <si>
    <t>EntityName</t>
  </si>
  <si>
    <t>EntityId</t>
  </si>
  <si>
    <t>EntityDesc</t>
  </si>
  <si>
    <t>controlnotes</t>
  </si>
  <si>
    <t>controltagtype</t>
  </si>
  <si>
    <t>controlriskinfo</t>
  </si>
  <si>
    <t>controlsuggestedmitigation</t>
  </si>
  <si>
    <t>acc_username</t>
  </si>
  <si>
    <t>repo_displayname</t>
  </si>
  <si>
    <t>acc_sid</t>
  </si>
  <si>
    <t>acc_guid</t>
  </si>
  <si>
    <t>cred_login</t>
  </si>
  <si>
    <t>cred_resource</t>
  </si>
  <si>
    <t>cred_type</t>
  </si>
  <si>
    <t>cred_displayname</t>
  </si>
  <si>
    <t>Empty groups giving access to a safe</t>
  </si>
  <si>
    <t>Group</t>
  </si>
  <si>
    <t>Groups that do not contain an account and give access to a CyberArk safe through useAccount or retrieveAccounts permissions.</t>
  </si>
  <si>
    <t>quality</t>
  </si>
  <si>
    <t>Empty groups should be removed if they are no longer being used to improve repository quality.</t>
  </si>
  <si>
    <t>Verify that the group is still being used, and if not, delete it.</t>
  </si>
  <si>
    <t>Groups with only one group giving access to a safe</t>
  </si>
  <si>
    <t>Groups that contain only one group and give access to a CyberArk safe through useAccount or retrieveAccounts permissions.</t>
  </si>
  <si>
    <t>Legacy groups should be removed if they are no longer being used to improve repository quality.</t>
  </si>
  <si>
    <t>Contractors that can access a safe</t>
  </si>
  <si>
    <t>User Account</t>
  </si>
  <si>
    <t>User accounts belonging to active identities who are contractors and who can access a CyberArk safe.</t>
  </si>
  <si>
    <t>risk</t>
  </si>
  <si>
    <t>Contractor user accounts with access to a safe should be identified and reviewed.</t>
  </si>
  <si>
    <t>Review contractor user accounts and check the legitimacy of their access to a safe.</t>
  </si>
  <si>
    <t>S-1-5-21-2198405017-3190945858-2291852294-1256</t>
  </si>
  <si>
    <t>31bbcb7e-3ebb-4b6f-9fcc-b6cec7cf4813</t>
  </si>
  <si>
    <t>Users that have at least one direct permission to a safe</t>
  </si>
  <si>
    <t>Active user accounts having some access to a CyberArk safe without using groups.</t>
  </si>
  <si>
    <t>All access rights to a safe should be provided to user accounts through groups. Discretionary access should be avoided to ensure proper user access management.</t>
  </si>
  <si>
    <t>Remove the direct rights and use groups to grant access.</t>
  </si>
  <si>
    <t>S-1-5-21-2198405017-3190945858-2291852294-1252</t>
  </si>
  <si>
    <t>40305f5a-3202-4c03-a399-e8fdf9472d80</t>
  </si>
  <si>
    <t>S-1-5-21-2198405017-3190945858-2291852294-1132</t>
  </si>
  <si>
    <t>24f8123c-5ad5-4ca3-b570-4799ac2bc500</t>
  </si>
  <si>
    <t>S-1-5-21-2198405017-3190945858-2291852294-1179</t>
  </si>
  <si>
    <t>f50b051a-c186-4b8e-92c3-12414b5ee38a</t>
  </si>
  <si>
    <t>S-1-5-21-2198405017-3190945858-2291852294-1645</t>
  </si>
  <si>
    <t>17782511-3f3e-49f3-8acb-ed7e6bb80607</t>
  </si>
  <si>
    <t>S-1-5-21-2198405017-3190945858-2291852294-1848</t>
  </si>
  <si>
    <t>e2cc5d2d-ce8a-4fe7-a2ba-655abe757210</t>
  </si>
  <si>
    <t>S-1-5-21-2198405017-3190945858-2291852294-1156</t>
  </si>
  <si>
    <t>c875ab5a-2039-42fa-8ecd-416614f98f86</t>
  </si>
  <si>
    <t>Unused user accounts giving access to a safe</t>
  </si>
  <si>
    <t>Unused user accounts giving access to a CyberArk vault are defined as accounts which have not been used for more than 180 days or which have never been used.</t>
  </si>
  <si>
    <t>Unused user accounts are no longer being monitored by their respective owners.  They can be hacked and used by an insider to impersonate an individual and commit fraud. Accounts are considered unused if its owner is no longer using the service,  if its owner is a contractor no longer working for the company, or if the account is a test/service account no longer being used.</t>
  </si>
  <si>
    <t>Monitor the last login date of the account. If it is greater than 180 days, or if the account has never been used, notify the manager of the account owner in order to disable or delete it.  The account owner manager is accountable for the applying the security policy within his perimeter.</t>
  </si>
  <si>
    <t>S-1-5-21-2198405017-3190945858-2291852294-1716</t>
  </si>
  <si>
    <t>e0bd53f4-1f48-4388-b745-3c0acc18133c</t>
  </si>
  <si>
    <t>S-1-5-21-2198405017-3190945858-2291852294-1218</t>
  </si>
  <si>
    <t>3a781dab-c32e-45b2-bfcc-40253de4262e</t>
  </si>
  <si>
    <t>S-1-5-21-2198405017-3190945858-2291852294-1217</t>
  </si>
  <si>
    <t>831d0801-f828-4de0-9968-8ddac9d05f73</t>
  </si>
  <si>
    <t>S-1-5-21-2198405017-3190945858-2291852294-1387</t>
  </si>
  <si>
    <t>9b92bd7c-022e-41f2-acfa-898eda17404a</t>
  </si>
  <si>
    <t>Contractors without an expiration date that can access a safe</t>
  </si>
  <si>
    <t>User accounts without an expiration date belonging to active identities who are contractors and who can access a CyberArk safe.</t>
  </si>
  <si>
    <t>Contractor user accounts should have an expiration date to faciliate account revocation.</t>
  </si>
  <si>
    <t>Add an expiration date to the contractor user account.</t>
  </si>
  <si>
    <t>Active user accounts for which the owner has departed and have access to a safe</t>
  </si>
  <si>
    <t>Active user accounts belonging to an identity who has left the company and that has access to a CyberArk Safe.</t>
  </si>
  <si>
    <t>User accounts must be terminated upon their owner's departure or risk being used by a third party (insider, hacker) to compromise the data or steal information.</t>
  </si>
  <si>
    <t>Verify that the owner has left the company and immediately disable the account.</t>
  </si>
  <si>
    <t>S-1-5-21-2198405017-3190945858-2291852294-1318</t>
  </si>
  <si>
    <t>66b1e624-9c7a-49f5-930a-52d6faa9e65b</t>
  </si>
  <si>
    <t>S-1-5-21-2198405017-3190945858-2291852294-1113</t>
  </si>
  <si>
    <t>97387029-8747-4316-8b95-d10aae8bcfa7</t>
  </si>
  <si>
    <t>S-1-5-21-2198405017-3190945858-2291852294-1319</t>
  </si>
  <si>
    <t>ccec6db2-9b8c-492b-a891-b9431970195d</t>
  </si>
  <si>
    <t>Users with no expiration date that can manage a safe</t>
  </si>
  <si>
    <t>User accounts without no expiration date that can manage a CyberArk safe.</t>
  </si>
  <si>
    <t>User accounts that can manage a CyberArk safe should have an expiration date to facilitate account revocation.</t>
  </si>
  <si>
    <t>Add an expiration date to the user account that can administer a CyberArk safe.</t>
  </si>
  <si>
    <t>S-1-5-21-2198405017-3190945858-2291852294-1135</t>
  </si>
  <si>
    <t>a64c8944-fc93-4262-883a-c2d1bb0640b8</t>
  </si>
  <si>
    <t>S-1-5-21-2198405017-3190945858-2291852294-1780</t>
  </si>
  <si>
    <t>bb49e51c-ff5f-44c2-8d58-b11755a8c5ea</t>
  </si>
  <si>
    <t>S-1-5-21-2198405017-3190945858-2291852294-1133</t>
  </si>
  <si>
    <t>c7feef95-8fa0-4927-adfa-6791afa35064</t>
  </si>
  <si>
    <t>S-1-5-21-2198405017-3190945858-2291852294-1622</t>
  </si>
  <si>
    <t>64486b5e-874c-4c5f-8d9c-0a90772ea5fb</t>
  </si>
  <si>
    <t>S-1-5-21-2198405017-3190945858-2291852294-1711</t>
  </si>
  <si>
    <t>312c3e1c-77d6-4598-9c33-44008458fead</t>
  </si>
  <si>
    <t>S-1-5-21-2198405017-3190945858-2291852294-1148</t>
  </si>
  <si>
    <t>ef122070-094e-4a33-ab31-47576a1648df</t>
  </si>
  <si>
    <t>S-1-5-21-2198405017-3190945858-2291852294-1432</t>
  </si>
  <si>
    <t>6eef420c-aee6-4202-98ff-909653f98782</t>
  </si>
  <si>
    <t>S-1-5-21-2198405017-3190945858-2291852294-1315</t>
  </si>
  <si>
    <t>26782430-f247-4166-8e2b-cf0ea1bcee19</t>
  </si>
  <si>
    <t>S-1-5-21-2198405017-3190945858-2291852294-1511</t>
  </si>
  <si>
    <t>deea3a07-9f69-4d99-af21-62196def325b</t>
  </si>
  <si>
    <t>S-1-5-21-2198485817-3198945858-2291852294-8882</t>
  </si>
  <si>
    <t>6267b804-88b5-45c6-a071-afbd1a888ca8</t>
  </si>
  <si>
    <t>S-1-5-21-2198405017-3190945858-2291852294-1286</t>
  </si>
  <si>
    <t>781f7a38-b852-46f6-88c8-ba4e288e943e</t>
  </si>
  <si>
    <t>S-1-5-21-2198405017-3190945858-2291852294-1242</t>
  </si>
  <si>
    <t>6290297e-fda0-41fb-ba89-1bd5ca643d7f</t>
  </si>
  <si>
    <t>S-1-5-21-2198405017-3190945858-2291852294-1151</t>
  </si>
  <si>
    <t>9ff84420-dc54-48c8-ac4c-f89f587f5a3c</t>
  </si>
  <si>
    <t>S-1-5-21-2198405017-3190945858-2291852294-1107</t>
  </si>
  <si>
    <t>818860e4-4f27-443f-8dd4-261be7dc77a1</t>
  </si>
  <si>
    <t>S-1-5-26-2198405017-3190945858-2291852294-1853</t>
  </si>
  <si>
    <t>eb90b532-47cf-4e22-9144-c6c92c4c1df6</t>
  </si>
  <si>
    <t>S-1-5-21-2198405017-3190945858-2291852294-1535</t>
  </si>
  <si>
    <t>b0c1367e-ec40-4d29-9187-9728df2c80ee</t>
  </si>
  <si>
    <t>S-1-5-21-2198405017-3190945858-2291852294-1185</t>
  </si>
  <si>
    <t>2d421524-7c69-4a52-ab08-99dbb9a10b71</t>
  </si>
  <si>
    <t>S-1-5-21-2198405017-3190945858-2291852294-1114</t>
  </si>
  <si>
    <t>2d69dc33-20b7-4e41-8340-9f099a616bb0</t>
  </si>
  <si>
    <t>S-1-5-21-2198405017-3190945858-2291852294-1672</t>
  </si>
  <si>
    <t>68cad3c4-acf5-467a-8ef6-a6a23d1af74b</t>
  </si>
  <si>
    <t>S-1-5-30-2198405017-3190945858-2291852294-1853</t>
  </si>
  <si>
    <t>eb90b532-47cf-4e26-9144-c6c92c4c1df6</t>
  </si>
  <si>
    <t>Contractors with no expiration date that can manage a safe</t>
  </si>
  <si>
    <t>Active identity who is a contractor and has a user account without an expiration date that can administer a CyberArk safe.</t>
  </si>
  <si>
    <t>Contractor user accounts should have an expiration date to facilitate account revocation.</t>
  </si>
  <si>
    <t>Users that can both manage the safe and use its contents</t>
  </si>
  <si>
    <t>Active user accounts having access rights to a CyberArk safe that allow both the use (access permissions) and the management (account management, safe management, monitoring, workflow, advanced permissions) of its contents.</t>
  </si>
  <si>
    <t>User accounts should not be able to both manage and use the contents in order to conform with the principles of segregation of duties.</t>
  </si>
  <si>
    <t>Re-assign the user'a access rights to conform with the principles of segregation of duties.</t>
  </si>
  <si>
    <t>Users with both access to the vault and access to a safe inside the vault</t>
  </si>
  <si>
    <t>Active user accounts with administrative access to both the CyberArk vault and a CyberArk safe inside the vault.</t>
  </si>
  <si>
    <t>User accounts should not be able to manage a vault, access a safe and use the contents in order to conform with the principles of segregation of duties.</t>
  </si>
  <si>
    <t>Re-assign the user's access rights to conform with the principles of segregation of duties.</t>
  </si>
  <si>
    <t>Orphaned accounts with access to a safe</t>
  </si>
  <si>
    <t>Active accounts identified as orphaned with access to a CyberArk safe.</t>
  </si>
  <si>
    <t>Orphaned accounts are no longer assigned to an individual or tracked as a service or technical account. They can be used by insiders, outliers or hackers to steal data or issue rogue transactions.</t>
  </si>
  <si>
    <t>If relevant, immediately assign the account to an individual, document it as a technical/service account or disable it if it is no longer being used.</t>
  </si>
  <si>
    <t>CyberArk credentials for which automatic password rotation is disabled</t>
  </si>
  <si>
    <t>Credential</t>
  </si>
  <si>
    <t>PlatformID: WinDesktopLocal Secret Type: password</t>
  </si>
  <si>
    <t>Once privileged accounts are onboarded in CyberArk, their usage is not completely secure until the CPM is activated.</t>
  </si>
  <si>
    <t>End users can still bypass CyberArk to use these privileged accounts because the password is not automatically changed by the CyberArk CPM.</t>
  </si>
  <si>
    <t>Contact the resource owner and the CyberArk team about activating CPM on these privileged accounts.</t>
  </si>
  <si>
    <t>pw-hyp-dev-0754.roberts-parker.com-Administrator-251d8b60-e34a-4371-8caf-0e378ff850f69</t>
  </si>
  <si>
    <t>jo-ctx-qa-5577.roberts-parker.com-super-251d8b60-e34a-4371-8caf-0e378ff850f71</t>
  </si>
  <si>
    <t>jo-ctx-qa-5577.roberts-parker.com-dba-1d4bf983-da05-4aff-9ff4-08b6e5ec0c154</t>
  </si>
  <si>
    <t>jo-ctx-qa-5577.roberts-parker.com-_batch_-f479ce72-539d-4321-b7b2-cbacbcca3991</t>
  </si>
  <si>
    <t>sr-ctx-prd-5142.roberts-parker.com-super-f479ce72-539d-4321-b7b2-cbacbcca3992</t>
  </si>
  <si>
    <t>lt-esx-dev-9197.roberts-parker.com-sa-1d4bf983-da05-4aff-9ff4-08b6e5ec0c159</t>
  </si>
  <si>
    <t>hn-esx-prd-6568.roberts-parker.com-super-f479ce72-539d-4321-b7b2-cbacbcca3998</t>
  </si>
  <si>
    <t>dj-esx-dev-0539.roberts-parker.com-qa-f479ce72-539d-4321-b7b2-cbacbcca3999</t>
  </si>
  <si>
    <t>to-des-prd-3745.roberts-parker.com-sa-f479ce72-539d-4321-b7b2-cbacbcca4003</t>
  </si>
  <si>
    <t>ua-des-dev-3219.roberts-parker.com-Administrator-9860c088-3dd4-44a7-b118-704a883e3ae86</t>
  </si>
  <si>
    <t>pl-des-prd-5826.roberts-parker.com-operator-f479ce72-539d-4321-b7b2-cbacbcca4005</t>
  </si>
  <si>
    <t>al-svr-qa-9369.roberts-parker.com-root-251d8b60-e34a-4371-8caf-0e378ff850f88</t>
  </si>
  <si>
    <t>ge-svr-dev-1480.roberts-parker.com-test_01-f479ce72-539d-4321-b7b2-cbacbcca4008</t>
  </si>
  <si>
    <t>controldefects</t>
  </si>
  <si>
    <t>↓</t>
  </si>
  <si>
    <t>Scope</t>
  </si>
  <si>
    <t>SAFES</t>
  </si>
  <si>
    <t>totalownedsafes</t>
  </si>
  <si>
    <t>newownedsafes</t>
  </si>
  <si>
    <t>New CyberArk Users by Type</t>
  </si>
  <si>
    <t>Identified Risk Issues</t>
  </si>
  <si>
    <t>Safe accounts and groups giving no access</t>
  </si>
  <si>
    <t>The safe is empty</t>
  </si>
  <si>
    <t>Identified Quality Issues</t>
  </si>
  <si>
    <t>Monitoring of My Safes</t>
  </si>
  <si>
    <t>Group Changes</t>
  </si>
  <si>
    <t>Credential Changes</t>
  </si>
  <si>
    <t>activeusers</t>
  </si>
  <si>
    <t>effectiveusers</t>
  </si>
  <si>
    <t>bookingusers</t>
  </si>
  <si>
    <t>USERS</t>
  </si>
  <si>
    <t>EPVusers</t>
  </si>
  <si>
    <t>All</t>
  </si>
  <si>
    <t>Deleted</t>
  </si>
  <si>
    <t>DiffNew</t>
  </si>
  <si>
    <t>DiffModif</t>
  </si>
  <si>
    <t>DiffDel</t>
  </si>
  <si>
    <t>AIMusers</t>
  </si>
  <si>
    <t>OtherTypes</t>
  </si>
  <si>
    <t>EPVUser</t>
  </si>
  <si>
    <t>AIMAccount</t>
  </si>
  <si>
    <t>Test</t>
  </si>
  <si>
    <t>GROUPS</t>
  </si>
  <si>
    <t>parentgroups</t>
  </si>
  <si>
    <t>CREDENTIALS</t>
  </si>
  <si>
    <t>credentials with CPM disabled</t>
  </si>
  <si>
    <t>credentials with failed CPM</t>
  </si>
  <si>
    <t>DiffCPMdisabled</t>
  </si>
  <si>
    <t>DiffCPMfailed</t>
  </si>
  <si>
    <t>DETECTED ISSUES</t>
  </si>
  <si>
    <t>Remaining Active Users</t>
  </si>
  <si>
    <t>New Credentials without CPM</t>
  </si>
  <si>
    <t>Orphaned Users</t>
  </si>
  <si>
    <t>Users with Direct Authorization to my Safes</t>
  </si>
  <si>
    <t>Users that Can Manage my Safes and Use Their Credentials</t>
  </si>
  <si>
    <t>Users that Can Access to the Vault and my Safes</t>
  </si>
  <si>
    <t>Contractors who Can Manage my Safes without Expiration</t>
  </si>
  <si>
    <t>Contractors who Can Use my Credentials without Expiration</t>
  </si>
  <si>
    <t>Dormant Active Users</t>
  </si>
  <si>
    <t>Disabled Users</t>
  </si>
  <si>
    <t>Empty Groups Giving Access to my Credentials</t>
  </si>
  <si>
    <t xml:space="preserve">Groups with Only Disabled Members </t>
  </si>
  <si>
    <t>My Empty Safes</t>
  </si>
  <si>
    <t>My Safes without Access</t>
  </si>
  <si>
    <t>DiffValue</t>
  </si>
  <si>
    <t>Value</t>
  </si>
  <si>
    <t>ControlDisplayname</t>
  </si>
  <si>
    <t>Disabled user accounts giving access to a safe</t>
  </si>
  <si>
    <t>Groups with only disabled accounts giving access to a safe</t>
  </si>
  <si>
    <t>To use this report, click on one of the links below. You will then be redirected to the corresponding dashboard which will show you the summary of the results.</t>
  </si>
  <si>
    <t>To access the details of a result, simply click on the relevant title. You will then be redirected to the corresponding tab. The cell allowing you to filter</t>
  </si>
  <si>
    <t>the results will be automatically selected and, you can proceed with your analysis.</t>
  </si>
  <si>
    <t>Safe Owner Report</t>
  </si>
  <si>
    <t>My Safes Details</t>
  </si>
  <si>
    <t>List of Safes I Own</t>
  </si>
  <si>
    <t>List of Users Having Access to My Safes</t>
  </si>
  <si>
    <t>List of Groups Providing Access to My Safes</t>
  </si>
  <si>
    <t>List of Credentials Secured in My Safes</t>
  </si>
  <si>
    <t>List of Issues Detected in My Safes</t>
  </si>
  <si>
    <t>Contractors</t>
  </si>
  <si>
    <t>1</t>
  </si>
  <si>
    <t>0</t>
  </si>
  <si>
    <t>This report gives you a summary of your safes. It allows you to carry out the first level of necessary controls within the framework of the security policy.</t>
  </si>
  <si>
    <t>It contains information about user access to your safes and their credentials. In addition, it shows the results of various verifications and security checks.</t>
  </si>
  <si>
    <t>Additionally, a time-based analysis is conducted on the data to show any changes that have occurred since the last analysis was performed by Brainwave.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</si>
</sst>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mmm\ d\,\ yyyy"/>
  </numFmts>
  <fonts count="23">
    <font>
      <sz val="11"/>
      <color indexed="8"/>
      <name val="Calibri"/>
      <family val="2"/>
      <scheme val="minor"/>
    </font>
    <font>
      <sz val="11"/>
      <color theme="1"/>
      <name val="Calibri"/>
      <family val="2"/>
      <scheme val="minor"/>
    </font>
    <font>
      <sz val="11"/>
      <color theme="1"/>
      <name val="Calibri"/>
      <family val="2"/>
      <scheme val="minor"/>
    </font>
    <font>
      <sz val="8"/>
      <color rgb="FFFFFFFF"/>
      <name val="sans-serif"/>
    </font>
    <font>
      <sz val="8"/>
      <color rgb="FF000000"/>
      <name val="sans-serif"/>
    </font>
    <font>
      <sz val="8"/>
      <color rgb="FF000000"/>
      <name val="sans-serif"/>
    </font>
    <font>
      <sz val="8"/>
      <color rgb="FF6495ED"/>
      <name val="sans-serif"/>
    </font>
    <font>
      <b/>
      <sz val="8"/>
      <color rgb="FFFFFFE0"/>
      <name val="sans-serif"/>
    </font>
    <font>
      <sz val="8"/>
      <color rgb="FF000000"/>
      <name val="sans-serif"/>
    </font>
    <font>
      <sz val="8"/>
      <color rgb="FFFFFFFF"/>
      <name val="arial"/>
    </font>
    <font>
      <sz val="8"/>
      <color rgb="FF000000"/>
      <name val="helvetica"/>
    </font>
    <font>
      <sz val="11"/>
      <color theme="0"/>
      <name val="Calibri"/>
      <family val="2"/>
      <scheme val="minor"/>
    </font>
    <font>
      <sz val="11"/>
      <color rgb="FF000000"/>
      <name val="Calibri"/>
      <family val="2"/>
    </font>
    <font>
      <sz val="24"/>
      <color rgb="FFFFFFFF"/>
      <name val="Calibri"/>
      <family val="2"/>
    </font>
    <font>
      <sz val="16"/>
      <name val="Calibri"/>
      <family val="2"/>
    </font>
    <font>
      <sz val="11"/>
      <name val="Calibri"/>
      <family val="2"/>
    </font>
    <font>
      <b/>
      <sz val="11"/>
      <color theme="0"/>
      <name val="Calibri"/>
      <family val="2"/>
      <scheme val="minor"/>
    </font>
    <font>
      <u/>
      <sz val="11"/>
      <color theme="10"/>
      <name val="Calibri"/>
      <family val="2"/>
      <scheme val="minor"/>
    </font>
    <font>
      <sz val="24"/>
      <color theme="0"/>
      <name val="Calibri"/>
      <family val="2"/>
      <scheme val="minor"/>
    </font>
    <font>
      <sz val="24"/>
      <color rgb="FF2B353E"/>
      <name val="Calibri"/>
      <family val="2"/>
      <scheme val="minor"/>
    </font>
    <font>
      <u/>
      <sz val="11"/>
      <color theme="1"/>
      <name val="Calibri"/>
      <family val="2"/>
      <scheme val="minor"/>
    </font>
    <font>
      <sz val="9"/>
      <color rgb="FF000000"/>
      <name val="Tahoma"/>
      <charset val="1"/>
    </font>
    <font>
      <sz val="9"/>
      <color indexed="81"/>
      <name val="Tahoma"/>
      <family val="2"/>
    </font>
  </fonts>
  <fills count="10">
    <fill>
      <patternFill patternType="none"/>
    </fill>
    <fill>
      <patternFill patternType="gray125"/>
    </fill>
    <fill>
      <patternFill patternType="solid">
        <fgColor rgb="FF8A8A97"/>
      </patternFill>
    </fill>
    <fill>
      <patternFill patternType="solid">
        <fgColor rgb="FFFFFFFF"/>
      </patternFill>
    </fill>
    <fill>
      <patternFill patternType="solid">
        <fgColor rgb="FF6495ED"/>
      </patternFill>
    </fill>
    <fill>
      <patternFill patternType="solid">
        <fgColor rgb="FF2B353E"/>
        <bgColor rgb="FF000000"/>
      </patternFill>
    </fill>
    <fill>
      <patternFill patternType="solid">
        <fgColor rgb="FFAEAAAA"/>
        <bgColor rgb="FF000000"/>
      </patternFill>
    </fill>
    <fill>
      <patternFill patternType="solid">
        <fgColor theme="1"/>
        <bgColor indexed="64"/>
      </patternFill>
    </fill>
    <fill>
      <patternFill patternType="solid">
        <fgColor rgb="FF2B353E"/>
        <bgColor indexed="64"/>
      </patternFill>
    </fill>
    <fill>
      <patternFill patternType="solid">
        <fgColor rgb="FFDDDDDD"/>
        <bgColor indexed="64"/>
      </patternFill>
    </fill>
  </fills>
  <borders count="5">
    <border>
      <left/>
      <right/>
      <top/>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s>
  <cellStyleXfs count="3">
    <xf numFmtId="0" fontId="0" fillId="0" borderId="0"/>
    <xf numFmtId="0" fontId="17" fillId="0" borderId="0" applyNumberFormat="0" applyFill="0" applyBorder="0" applyAlignment="0" applyProtection="0"/>
    <xf numFmtId="0" fontId="2" fillId="0" borderId="0"/>
  </cellStyleXfs>
  <cellXfs count="31">
    <xf numFmtId="0" fontId="0" fillId="0" borderId="0" xfId="0"/>
    <xf numFmtId="0" fontId="3" fillId="2" borderId="0" xfId="0" applyFont="1" applyFill="1" applyAlignment="1">
      <alignment horizontal="left" vertical="center" wrapText="1"/>
    </xf>
    <xf numFmtId="0" fontId="4" fillId="3" borderId="0" xfId="0" applyFont="1" applyFill="1" applyAlignment="1">
      <alignment horizontal="left" vertical="top" wrapText="1"/>
    </xf>
    <xf numFmtId="0" fontId="5" fillId="3" borderId="0" xfId="0" applyFont="1" applyFill="1" applyAlignment="1">
      <alignment horizontal="left" vertical="top" wrapText="1"/>
    </xf>
    <xf numFmtId="0" fontId="6" fillId="4" borderId="0" xfId="0" applyFont="1" applyFill="1" applyAlignment="1">
      <alignment horizontal="left" vertical="top" wrapText="1"/>
    </xf>
    <xf numFmtId="0" fontId="7" fillId="4" borderId="0" xfId="0" applyFont="1" applyFill="1" applyAlignment="1" applyProtection="1">
      <alignment horizontal="left" vertical="top" wrapText="1"/>
      <protection locked="0"/>
    </xf>
    <xf numFmtId="164" fontId="8" fillId="3" borderId="0" xfId="0" applyNumberFormat="1" applyFont="1" applyFill="1" applyAlignment="1">
      <alignment horizontal="left" vertical="top" wrapText="1"/>
    </xf>
    <xf numFmtId="0" fontId="9" fillId="2" borderId="0" xfId="0" applyFont="1" applyFill="1" applyAlignment="1" applyProtection="1">
      <alignment horizontal="left" vertical="center" wrapText="1"/>
      <protection locked="0"/>
    </xf>
    <xf numFmtId="0" fontId="10" fillId="3" borderId="0" xfId="0" applyFont="1" applyFill="1" applyAlignment="1" applyProtection="1">
      <alignment horizontal="left" vertical="top" wrapText="1"/>
      <protection locked="0"/>
    </xf>
    <xf numFmtId="0" fontId="0" fillId="0" borderId="1" xfId="0" applyBorder="1"/>
    <xf numFmtId="0" fontId="12" fillId="5" borderId="0" xfId="0" applyFont="1" applyFill="1" applyAlignment="1">
      <alignment vertical="center"/>
    </xf>
    <xf numFmtId="0" fontId="13" fillId="5" borderId="0" xfId="0" applyFont="1" applyFill="1" applyAlignment="1">
      <alignment vertical="center"/>
    </xf>
    <xf numFmtId="0" fontId="14" fillId="6" borderId="0" xfId="0" applyFont="1" applyFill="1" applyAlignment="1">
      <alignment vertical="center"/>
    </xf>
    <xf numFmtId="0" fontId="15" fillId="6" borderId="0" xfId="0" applyFont="1" applyFill="1" applyAlignment="1">
      <alignment vertical="center"/>
    </xf>
    <xf numFmtId="0" fontId="2" fillId="8" borderId="0" xfId="2" applyFill="1" applyAlignment="1">
      <alignment vertical="center"/>
    </xf>
    <xf numFmtId="0" fontId="18" fillId="8" borderId="0" xfId="2" applyFont="1" applyFill="1" applyAlignment="1">
      <alignment vertical="center"/>
    </xf>
    <xf numFmtId="0" fontId="2" fillId="0" borderId="0" xfId="2"/>
    <xf numFmtId="0" fontId="2" fillId="0" borderId="1" xfId="2" applyBorder="1"/>
    <xf numFmtId="49" fontId="4" fillId="3" borderId="0" xfId="0" applyNumberFormat="1" applyFont="1" applyFill="1" applyAlignment="1">
      <alignment horizontal="left" vertical="top" wrapText="1"/>
    </xf>
    <xf numFmtId="0" fontId="1" fillId="0" borderId="1" xfId="2" applyFont="1" applyBorder="1"/>
    <xf numFmtId="0" fontId="19" fillId="9" borderId="2" xfId="2" applyFont="1" applyFill="1" applyBorder="1" applyAlignment="1">
      <alignment horizontal="left" vertical="center"/>
    </xf>
    <xf numFmtId="0" fontId="19" fillId="9" borderId="3" xfId="2" applyFont="1" applyFill="1" applyBorder="1" applyAlignment="1">
      <alignment horizontal="left" vertical="center"/>
    </xf>
    <xf numFmtId="0" fontId="19" fillId="9" borderId="4" xfId="2" applyFont="1" applyFill="1" applyBorder="1" applyAlignment="1">
      <alignment horizontal="left" vertical="center"/>
    </xf>
    <xf numFmtId="0" fontId="17" fillId="0" borderId="2" xfId="1" applyBorder="1" applyAlignment="1">
      <alignment horizontal="left"/>
    </xf>
    <xf numFmtId="0" fontId="17" fillId="0" borderId="3" xfId="1" applyBorder="1" applyAlignment="1">
      <alignment horizontal="left"/>
    </xf>
    <xf numFmtId="0" fontId="17" fillId="0" borderId="4" xfId="1" applyBorder="1" applyAlignment="1">
      <alignment horizontal="left"/>
    </xf>
    <xf numFmtId="0" fontId="20" fillId="0" borderId="2" xfId="1" applyFont="1" applyBorder="1" applyAlignment="1">
      <alignment horizontal="left"/>
    </xf>
    <xf numFmtId="0" fontId="20" fillId="0" borderId="3" xfId="1" applyFont="1" applyBorder="1" applyAlignment="1">
      <alignment horizontal="left"/>
    </xf>
    <xf numFmtId="0" fontId="20" fillId="0" borderId="4" xfId="1" applyFont="1" applyBorder="1" applyAlignment="1">
      <alignment horizontal="left"/>
    </xf>
    <xf numFmtId="0" fontId="16" fillId="7" borderId="0" xfId="0" applyFont="1" applyFill="1" applyAlignment="1">
      <alignment horizontal="left"/>
    </xf>
    <xf numFmtId="0" fontId="11" fillId="7" borderId="0" xfId="0" applyFont="1" applyFill="1" applyAlignment="1">
      <alignment horizontal="left"/>
    </xf>
  </cellXfs>
  <cellStyles count="3">
    <cellStyle name="Lien hypertexte" xfId="1" builtinId="8"/>
    <cellStyle name="Normal" xfId="0" builtinId="0"/>
    <cellStyle name="Normal 2" xfId="2" xr:uid="{F2665394-94DB-4049-872B-51E409F62DE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E14D-438E-B76A-F41453F7BF6F}"/>
              </c:ext>
            </c:extLst>
          </c:dPt>
          <c:dPt>
            <c:idx val="1"/>
            <c:bubble3D val="0"/>
            <c:spPr>
              <a:solidFill>
                <a:schemeClr val="accent1">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E14D-438E-B76A-F41453F7BF6F}"/>
              </c:ext>
            </c:extLst>
          </c:dPt>
          <c:dLbls>
            <c:dLbl>
              <c:idx val="0"/>
              <c:delete val="1"/>
              <c:extLst>
                <c:ext xmlns:c15="http://schemas.microsoft.com/office/drawing/2012/chart" uri="{CE6537A1-D6FC-4f65-9D91-7224C49458BB}"/>
                <c:ext xmlns:c16="http://schemas.microsoft.com/office/drawing/2014/chart" uri="{C3380CC4-5D6E-409C-BE32-E72D297353CC}">
                  <c16:uniqueId val="{00000001-E14D-438E-B76A-F41453F7BF6F}"/>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val>
            <c:numRef>
              <c:f>data!$C$11:$D$11</c:f>
              <c:numCache>
                <c:formatCode>General</c:formatCode>
                <c:ptCount val="2"/>
                <c:pt idx="0">
                  <c:v>1</c:v>
                </c:pt>
                <c:pt idx="1">
                  <c:v>0</c:v>
                </c:pt>
              </c:numCache>
            </c:numRef>
          </c:val>
          <c:extLst>
            <c:ext xmlns:c16="http://schemas.microsoft.com/office/drawing/2014/chart" uri="{C3380CC4-5D6E-409C-BE32-E72D297353CC}">
              <c16:uniqueId val="{00000004-E14D-438E-B76A-F41453F7BF6F}"/>
            </c:ext>
          </c:extLst>
        </c:ser>
        <c:dLbls>
          <c:showLegendKey val="0"/>
          <c:showVal val="0"/>
          <c:showCatName val="0"/>
          <c:showSerName val="0"/>
          <c:showPercent val="1"/>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v>New Booking Users</c:v>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7C1D-445F-B024-DA10BED0619B}"/>
              </c:ext>
            </c:extLst>
          </c:dPt>
          <c:dPt>
            <c:idx val="1"/>
            <c:bubble3D val="0"/>
            <c:spPr>
              <a:solidFill>
                <a:schemeClr val="accent1">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7C1D-445F-B024-DA10BED0619B}"/>
              </c:ext>
            </c:extLst>
          </c:dPt>
          <c:dLbls>
            <c:dLbl>
              <c:idx val="0"/>
              <c:delete val="1"/>
              <c:extLst>
                <c:ext xmlns:c15="http://schemas.microsoft.com/office/drawing/2012/chart" uri="{CE6537A1-D6FC-4f65-9D91-7224C49458BB}"/>
                <c:ext xmlns:c16="http://schemas.microsoft.com/office/drawing/2014/chart" uri="{C3380CC4-5D6E-409C-BE32-E72D297353CC}">
                  <c16:uniqueId val="{00000001-7C1D-445F-B024-DA10BED0619B}"/>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data!$D$7</c:f>
              <c:strCache>
                <c:ptCount val="1"/>
                <c:pt idx="0">
                  <c:v>New</c:v>
                </c:pt>
              </c:strCache>
            </c:strRef>
          </c:cat>
          <c:val>
            <c:numRef>
              <c:f>data!$C$9:$D$9</c:f>
              <c:numCache>
                <c:formatCode>General</c:formatCode>
                <c:ptCount val="2"/>
                <c:pt idx="0">
                  <c:v>12</c:v>
                </c:pt>
                <c:pt idx="1">
                  <c:v>19</c:v>
                </c:pt>
              </c:numCache>
            </c:numRef>
          </c:val>
          <c:extLst>
            <c:ext xmlns:c16="http://schemas.microsoft.com/office/drawing/2014/chart" uri="{C3380CC4-5D6E-409C-BE32-E72D297353CC}">
              <c16:uniqueId val="{00000004-7C1D-445F-B024-DA10BED0619B}"/>
            </c:ext>
          </c:extLst>
        </c:ser>
        <c:dLbls>
          <c:showLegendKey val="0"/>
          <c:showVal val="0"/>
          <c:showCatName val="0"/>
          <c:showSerName val="0"/>
          <c:showPercent val="1"/>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C054-4503-B4DE-5829922D4EE3}"/>
              </c:ext>
            </c:extLst>
          </c:dPt>
          <c:dPt>
            <c:idx val="1"/>
            <c:bubble3D val="0"/>
            <c:spPr>
              <a:solidFill>
                <a:schemeClr val="accent1">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C054-4503-B4DE-5829922D4EE3}"/>
              </c:ext>
            </c:extLst>
          </c:dPt>
          <c:dLbls>
            <c:dLbl>
              <c:idx val="0"/>
              <c:delete val="1"/>
              <c:extLst>
                <c:ext xmlns:c15="http://schemas.microsoft.com/office/drawing/2012/chart" uri="{CE6537A1-D6FC-4f65-9D91-7224C49458BB}"/>
                <c:ext xmlns:c16="http://schemas.microsoft.com/office/drawing/2014/chart" uri="{C3380CC4-5D6E-409C-BE32-E72D297353CC}">
                  <c16:uniqueId val="{00000001-C054-4503-B4DE-5829922D4EE3}"/>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val>
            <c:numRef>
              <c:f>data!$C$12:$D$12</c:f>
              <c:numCache>
                <c:formatCode>General</c:formatCode>
                <c:ptCount val="2"/>
                <c:pt idx="0">
                  <c:v>0</c:v>
                </c:pt>
                <c:pt idx="1">
                  <c:v>3</c:v>
                </c:pt>
              </c:numCache>
            </c:numRef>
          </c:val>
          <c:extLst>
            <c:ext xmlns:c16="http://schemas.microsoft.com/office/drawing/2014/chart" uri="{C3380CC4-5D6E-409C-BE32-E72D297353CC}">
              <c16:uniqueId val="{00000004-C054-4503-B4DE-5829922D4EE3}"/>
            </c:ext>
          </c:extLst>
        </c:ser>
        <c:dLbls>
          <c:showLegendKey val="0"/>
          <c:showVal val="0"/>
          <c:showCatName val="0"/>
          <c:showSerName val="0"/>
          <c:showPercent val="1"/>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4502-41D3-9E0B-AA6D38821A31}"/>
              </c:ext>
            </c:extLst>
          </c:dPt>
          <c:dPt>
            <c:idx val="1"/>
            <c:bubble3D val="0"/>
            <c:spPr>
              <a:solidFill>
                <a:schemeClr val="accent1">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4502-41D3-9E0B-AA6D38821A31}"/>
              </c:ext>
            </c:extLst>
          </c:dPt>
          <c:dLbls>
            <c:dLbl>
              <c:idx val="0"/>
              <c:delete val="1"/>
              <c:extLst>
                <c:ext xmlns:c15="http://schemas.microsoft.com/office/drawing/2012/chart" uri="{CE6537A1-D6FC-4f65-9D91-7224C49458BB}"/>
                <c:ext xmlns:c16="http://schemas.microsoft.com/office/drawing/2014/chart" uri="{C3380CC4-5D6E-409C-BE32-E72D297353CC}">
                  <c16:uniqueId val="{00000001-4502-41D3-9E0B-AA6D38821A31}"/>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val>
            <c:numRef>
              <c:f>data!$C$13:$D$13</c:f>
              <c:numCache>
                <c:formatCode>General</c:formatCode>
                <c:ptCount val="2"/>
                <c:pt idx="0">
                  <c:v>1</c:v>
                </c:pt>
                <c:pt idx="1">
                  <c:v>1</c:v>
                </c:pt>
              </c:numCache>
            </c:numRef>
          </c:val>
          <c:extLst>
            <c:ext xmlns:c16="http://schemas.microsoft.com/office/drawing/2014/chart" uri="{C3380CC4-5D6E-409C-BE32-E72D297353CC}">
              <c16:uniqueId val="{00000004-4502-41D3-9E0B-AA6D38821A31}"/>
            </c:ext>
          </c:extLst>
        </c:ser>
        <c:dLbls>
          <c:showLegendKey val="0"/>
          <c:showVal val="0"/>
          <c:showCatName val="0"/>
          <c:showSerName val="0"/>
          <c:showPercent val="1"/>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FC81-42A6-B879-E661B8676416}"/>
              </c:ext>
            </c:extLst>
          </c:dPt>
          <c:dPt>
            <c:idx val="1"/>
            <c:bubble3D val="0"/>
            <c:spPr>
              <a:solidFill>
                <a:schemeClr val="accent1">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FC81-42A6-B879-E661B8676416}"/>
              </c:ext>
            </c:extLst>
          </c:dPt>
          <c:dLbls>
            <c:dLbl>
              <c:idx val="0"/>
              <c:delete val="1"/>
              <c:extLst>
                <c:ext xmlns:c15="http://schemas.microsoft.com/office/drawing/2012/chart" uri="{CE6537A1-D6FC-4f65-9D91-7224C49458BB}"/>
                <c:ext xmlns:c16="http://schemas.microsoft.com/office/drawing/2014/chart" uri="{C3380CC4-5D6E-409C-BE32-E72D297353CC}">
                  <c16:uniqueId val="{00000001-FC81-42A6-B879-E661B8676416}"/>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val>
            <c:numRef>
              <c:f>data!$C$18:$D$18</c:f>
              <c:numCache>
                <c:formatCode>General</c:formatCode>
                <c:ptCount val="2"/>
                <c:pt idx="0">
                  <c:v>6</c:v>
                </c:pt>
                <c:pt idx="1">
                  <c:v>4</c:v>
                </c:pt>
              </c:numCache>
            </c:numRef>
          </c:val>
          <c:extLst>
            <c:ext xmlns:c16="http://schemas.microsoft.com/office/drawing/2014/chart" uri="{C3380CC4-5D6E-409C-BE32-E72D297353CC}">
              <c16:uniqueId val="{00000004-FC81-42A6-B879-E661B8676416}"/>
            </c:ext>
          </c:extLst>
        </c:ser>
        <c:dLbls>
          <c:showLegendKey val="0"/>
          <c:showVal val="0"/>
          <c:showCatName val="0"/>
          <c:showSerName val="0"/>
          <c:showPercent val="1"/>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27A4-4589-96C2-048AB50E1CD8}"/>
              </c:ext>
            </c:extLst>
          </c:dPt>
          <c:dPt>
            <c:idx val="1"/>
            <c:bubble3D val="0"/>
            <c:spPr>
              <a:solidFill>
                <a:schemeClr val="accent1">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27A4-4589-96C2-048AB50E1CD8}"/>
              </c:ext>
            </c:extLst>
          </c:dPt>
          <c:dLbls>
            <c:dLbl>
              <c:idx val="0"/>
              <c:delete val="1"/>
              <c:extLst>
                <c:ext xmlns:c15="http://schemas.microsoft.com/office/drawing/2012/chart" uri="{CE6537A1-D6FC-4f65-9D91-7224C49458BB}"/>
                <c:ext xmlns:c16="http://schemas.microsoft.com/office/drawing/2014/chart" uri="{C3380CC4-5D6E-409C-BE32-E72D297353CC}">
                  <c16:uniqueId val="{00000001-27A4-4589-96C2-048AB50E1CD8}"/>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val>
            <c:numRef>
              <c:f>data!$C$19:$D$19</c:f>
              <c:numCache>
                <c:formatCode>General</c:formatCode>
                <c:ptCount val="2"/>
                <c:pt idx="0">
                  <c:v>10</c:v>
                </c:pt>
                <c:pt idx="1">
                  <c:v>0</c:v>
                </c:pt>
              </c:numCache>
            </c:numRef>
          </c:val>
          <c:extLst>
            <c:ext xmlns:c16="http://schemas.microsoft.com/office/drawing/2014/chart" uri="{C3380CC4-5D6E-409C-BE32-E72D297353CC}">
              <c16:uniqueId val="{00000004-27A4-4589-96C2-048AB50E1CD8}"/>
            </c:ext>
          </c:extLst>
        </c:ser>
        <c:dLbls>
          <c:showLegendKey val="0"/>
          <c:showVal val="0"/>
          <c:showCatName val="0"/>
          <c:showSerName val="0"/>
          <c:showPercent val="1"/>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15B8-43DD-AB77-0F2C47BC2033}"/>
              </c:ext>
            </c:extLst>
          </c:dPt>
          <c:dPt>
            <c:idx val="1"/>
            <c:bubble3D val="0"/>
            <c:spPr>
              <a:solidFill>
                <a:schemeClr val="accent1">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15B8-43DD-AB77-0F2C47BC2033}"/>
              </c:ext>
            </c:extLst>
          </c:dPt>
          <c:dLbls>
            <c:dLbl>
              <c:idx val="0"/>
              <c:delete val="1"/>
              <c:extLst>
                <c:ext xmlns:c15="http://schemas.microsoft.com/office/drawing/2012/chart" uri="{CE6537A1-D6FC-4f65-9D91-7224C49458BB}"/>
                <c:ext xmlns:c16="http://schemas.microsoft.com/office/drawing/2014/chart" uri="{C3380CC4-5D6E-409C-BE32-E72D297353CC}">
                  <c16:uniqueId val="{00000001-15B8-43DD-AB77-0F2C47BC2033}"/>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val>
            <c:numRef>
              <c:f>data!$E$18:$F$18</c:f>
              <c:numCache>
                <c:formatCode>General</c:formatCode>
                <c:ptCount val="2"/>
                <c:pt idx="0">
                  <c:v>6</c:v>
                </c:pt>
                <c:pt idx="1">
                  <c:v>4</c:v>
                </c:pt>
              </c:numCache>
            </c:numRef>
          </c:val>
          <c:extLst>
            <c:ext xmlns:c16="http://schemas.microsoft.com/office/drawing/2014/chart" uri="{C3380CC4-5D6E-409C-BE32-E72D297353CC}">
              <c16:uniqueId val="{00000004-15B8-43DD-AB77-0F2C47BC2033}"/>
            </c:ext>
          </c:extLst>
        </c:ser>
        <c:dLbls>
          <c:showLegendKey val="0"/>
          <c:showVal val="0"/>
          <c:showCatName val="0"/>
          <c:showSerName val="0"/>
          <c:showPercent val="1"/>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1C1B-48F4-8A63-2A95572D0D48}"/>
              </c:ext>
            </c:extLst>
          </c:dPt>
          <c:dPt>
            <c:idx val="1"/>
            <c:bubble3D val="0"/>
            <c:spPr>
              <a:solidFill>
                <a:schemeClr val="accent1">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1C1B-48F4-8A63-2A95572D0D48}"/>
              </c:ext>
            </c:extLst>
          </c:dPt>
          <c:dLbls>
            <c:dLbl>
              <c:idx val="0"/>
              <c:delete val="1"/>
              <c:extLst>
                <c:ext xmlns:c15="http://schemas.microsoft.com/office/drawing/2012/chart" uri="{CE6537A1-D6FC-4f65-9D91-7224C49458BB}"/>
                <c:ext xmlns:c16="http://schemas.microsoft.com/office/drawing/2014/chart" uri="{C3380CC4-5D6E-409C-BE32-E72D297353CC}">
                  <c16:uniqueId val="{00000001-1C1B-48F4-8A63-2A95572D0D48}"/>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val>
            <c:numRef>
              <c:f>data!$G$18:$H$18</c:f>
              <c:numCache>
                <c:formatCode>General</c:formatCode>
                <c:ptCount val="2"/>
                <c:pt idx="0">
                  <c:v>10</c:v>
                </c:pt>
                <c:pt idx="1">
                  <c:v>0</c:v>
                </c:pt>
              </c:numCache>
            </c:numRef>
          </c:val>
          <c:extLst>
            <c:ext xmlns:c16="http://schemas.microsoft.com/office/drawing/2014/chart" uri="{C3380CC4-5D6E-409C-BE32-E72D297353CC}">
              <c16:uniqueId val="{00000004-1C1B-48F4-8A63-2A95572D0D48}"/>
            </c:ext>
          </c:extLst>
        </c:ser>
        <c:dLbls>
          <c:showLegendKey val="0"/>
          <c:showVal val="0"/>
          <c:showCatName val="0"/>
          <c:showSerName val="0"/>
          <c:showPercent val="1"/>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2F8B-4032-B80C-97CA8BBF8C86}"/>
              </c:ext>
            </c:extLst>
          </c:dPt>
          <c:dPt>
            <c:idx val="1"/>
            <c:bubble3D val="0"/>
            <c:spPr>
              <a:solidFill>
                <a:schemeClr val="accent1">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2F8B-4032-B80C-97CA8BBF8C86}"/>
              </c:ext>
            </c:extLst>
          </c:dPt>
          <c:dLbls>
            <c:dLbl>
              <c:idx val="0"/>
              <c:delete val="1"/>
              <c:extLst>
                <c:ext xmlns:c15="http://schemas.microsoft.com/office/drawing/2012/chart" uri="{CE6537A1-D6FC-4f65-9D91-7224C49458BB}"/>
                <c:ext xmlns:c16="http://schemas.microsoft.com/office/drawing/2014/chart" uri="{C3380CC4-5D6E-409C-BE32-E72D297353CC}">
                  <c16:uniqueId val="{00000001-2F8B-4032-B80C-97CA8BBF8C86}"/>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val>
            <c:numRef>
              <c:f>data!$C$23:$D$23</c:f>
              <c:numCache>
                <c:formatCode>General</c:formatCode>
                <c:ptCount val="2"/>
                <c:pt idx="0">
                  <c:v>90</c:v>
                </c:pt>
                <c:pt idx="1">
                  <c:v>14</c:v>
                </c:pt>
              </c:numCache>
            </c:numRef>
          </c:val>
          <c:extLst>
            <c:ext xmlns:c16="http://schemas.microsoft.com/office/drawing/2014/chart" uri="{C3380CC4-5D6E-409C-BE32-E72D297353CC}">
              <c16:uniqueId val="{00000004-2F8B-4032-B80C-97CA8BBF8C86}"/>
            </c:ext>
          </c:extLst>
        </c:ser>
        <c:dLbls>
          <c:showLegendKey val="0"/>
          <c:showVal val="0"/>
          <c:showCatName val="0"/>
          <c:showSerName val="0"/>
          <c:showPercent val="1"/>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C7E7-4DCD-B28D-9AC93732EF46}"/>
              </c:ext>
            </c:extLst>
          </c:dPt>
          <c:dPt>
            <c:idx val="1"/>
            <c:bubble3D val="0"/>
            <c:spPr>
              <a:solidFill>
                <a:schemeClr val="accent1">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C7E7-4DCD-B28D-9AC93732EF46}"/>
              </c:ext>
            </c:extLst>
          </c:dPt>
          <c:dLbls>
            <c:dLbl>
              <c:idx val="0"/>
              <c:delete val="1"/>
              <c:extLst>
                <c:ext xmlns:c15="http://schemas.microsoft.com/office/drawing/2012/chart" uri="{CE6537A1-D6FC-4f65-9D91-7224C49458BB}"/>
                <c:ext xmlns:c16="http://schemas.microsoft.com/office/drawing/2014/chart" uri="{C3380CC4-5D6E-409C-BE32-E72D297353CC}">
                  <c16:uniqueId val="{00000001-C7E7-4DCD-B28D-9AC93732EF46}"/>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val>
            <c:numRef>
              <c:f>data!$G$23:$H$23</c:f>
              <c:numCache>
                <c:formatCode>General</c:formatCode>
                <c:ptCount val="2"/>
                <c:pt idx="0">
                  <c:v>104</c:v>
                </c:pt>
                <c:pt idx="1">
                  <c:v>0</c:v>
                </c:pt>
              </c:numCache>
            </c:numRef>
          </c:val>
          <c:extLst>
            <c:ext xmlns:c16="http://schemas.microsoft.com/office/drawing/2014/chart" uri="{C3380CC4-5D6E-409C-BE32-E72D297353CC}">
              <c16:uniqueId val="{00000004-C7E7-4DCD-B28D-9AC93732EF46}"/>
            </c:ext>
          </c:extLst>
        </c:ser>
        <c:dLbls>
          <c:showLegendKey val="0"/>
          <c:showVal val="0"/>
          <c:showCatName val="0"/>
          <c:showSerName val="0"/>
          <c:showPercent val="1"/>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DD50-4E2A-ADB2-33A31CA08A3E}"/>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DD50-4E2A-ADB2-33A31CA08A3E}"/>
              </c:ext>
            </c:extLst>
          </c:dPt>
          <c:dLbls>
            <c:dLbl>
              <c:idx val="0"/>
              <c:delete val="1"/>
              <c:extLst>
                <c:ext xmlns:c15="http://schemas.microsoft.com/office/drawing/2012/chart" uri="{CE6537A1-D6FC-4f65-9D91-7224C49458BB}"/>
                <c:ext xmlns:c16="http://schemas.microsoft.com/office/drawing/2014/chart" uri="{C3380CC4-5D6E-409C-BE32-E72D297353CC}">
                  <c16:uniqueId val="{00000001-DD50-4E2A-ADB2-33A31CA08A3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val>
            <c:numRef>
              <c:f>data!$B$24:$B$25</c:f>
              <c:numCache>
                <c:formatCode>General</c:formatCode>
                <c:ptCount val="2"/>
                <c:pt idx="0">
                  <c:v>91</c:v>
                </c:pt>
                <c:pt idx="1">
                  <c:v>13</c:v>
                </c:pt>
              </c:numCache>
            </c:numRef>
          </c:val>
          <c:extLst>
            <c:ext xmlns:c16="http://schemas.microsoft.com/office/drawing/2014/chart" uri="{C3380CC4-5D6E-409C-BE32-E72D297353CC}">
              <c16:uniqueId val="{00000004-DD50-4E2A-ADB2-33A31CA08A3E}"/>
            </c:ext>
          </c:extLst>
        </c:ser>
        <c:dLbls>
          <c:showLegendKey val="0"/>
          <c:showVal val="0"/>
          <c:showCatName val="0"/>
          <c:showSerName val="0"/>
          <c:showPercent val="1"/>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C800-4F7A-A6D3-F47C4789DFC0}"/>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C800-4F7A-A6D3-F47C4789DFC0}"/>
              </c:ext>
            </c:extLst>
          </c:dPt>
          <c:dLbls>
            <c:dLbl>
              <c:idx val="0"/>
              <c:delete val="1"/>
              <c:extLst>
                <c:ext xmlns:c15="http://schemas.microsoft.com/office/drawing/2012/chart" uri="{CE6537A1-D6FC-4f65-9D91-7224C49458BB}"/>
                <c:ext xmlns:c16="http://schemas.microsoft.com/office/drawing/2014/chart" uri="{C3380CC4-5D6E-409C-BE32-E72D297353CC}">
                  <c16:uniqueId val="{00000001-C800-4F7A-A6D3-F47C4789DFC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val>
            <c:numRef>
              <c:f>data!$B$26:$B$27</c:f>
              <c:numCache>
                <c:formatCode>General</c:formatCode>
                <c:ptCount val="2"/>
                <c:pt idx="0">
                  <c:v>94</c:v>
                </c:pt>
                <c:pt idx="1">
                  <c:v>10</c:v>
                </c:pt>
              </c:numCache>
            </c:numRef>
          </c:val>
          <c:extLst>
            <c:ext xmlns:c16="http://schemas.microsoft.com/office/drawing/2014/chart" uri="{C3380CC4-5D6E-409C-BE32-E72D297353CC}">
              <c16:uniqueId val="{00000004-C800-4F7A-A6D3-F47C4789DFC0}"/>
            </c:ext>
          </c:extLst>
        </c:ser>
        <c:dLbls>
          <c:showLegendKey val="0"/>
          <c:showVal val="0"/>
          <c:showCatName val="0"/>
          <c:showSerName val="0"/>
          <c:showPercent val="1"/>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2305-4281-AD95-9F2D4880DFD2}"/>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2305-4281-AD95-9F2D4880DFD2}"/>
              </c:ext>
            </c:extLst>
          </c:dPt>
          <c:dLbls>
            <c:dLbl>
              <c:idx val="0"/>
              <c:delete val="1"/>
              <c:extLst>
                <c:ext xmlns:c15="http://schemas.microsoft.com/office/drawing/2012/chart" uri="{CE6537A1-D6FC-4f65-9D91-7224C49458BB}"/>
                <c:ext xmlns:c16="http://schemas.microsoft.com/office/drawing/2014/chart" uri="{C3380CC4-5D6E-409C-BE32-E72D297353CC}">
                  <c16:uniqueId val="{00000001-2305-4281-AD95-9F2D4880DFD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val>
            <c:numRef>
              <c:f>data!$C$31:$D$31</c:f>
              <c:numCache>
                <c:formatCode>General</c:formatCode>
                <c:ptCount val="2"/>
                <c:pt idx="0">
                  <c:v>32</c:v>
                </c:pt>
                <c:pt idx="1">
                  <c:v>5</c:v>
                </c:pt>
              </c:numCache>
            </c:numRef>
          </c:val>
          <c:extLst>
            <c:ext xmlns:c16="http://schemas.microsoft.com/office/drawing/2014/chart" uri="{C3380CC4-5D6E-409C-BE32-E72D297353CC}">
              <c16:uniqueId val="{00000004-2305-4281-AD95-9F2D4880DFD2}"/>
            </c:ext>
          </c:extLst>
        </c:ser>
        <c:dLbls>
          <c:showLegendKey val="0"/>
          <c:showVal val="0"/>
          <c:showCatName val="0"/>
          <c:showSerName val="0"/>
          <c:showPercent val="1"/>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1FC3-4EC2-9305-D023A5852C97}"/>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1FC3-4EC2-9305-D023A5852C97}"/>
              </c:ext>
            </c:extLst>
          </c:dPt>
          <c:dLbls>
            <c:dLbl>
              <c:idx val="0"/>
              <c:delete val="1"/>
              <c:extLst>
                <c:ext xmlns:c15="http://schemas.microsoft.com/office/drawing/2012/chart" uri="{CE6537A1-D6FC-4f65-9D91-7224C49458BB}"/>
                <c:ext xmlns:c16="http://schemas.microsoft.com/office/drawing/2014/chart" uri="{C3380CC4-5D6E-409C-BE32-E72D297353CC}">
                  <c16:uniqueId val="{00000001-1FC3-4EC2-9305-D023A5852C97}"/>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val>
            <c:numRef>
              <c:f>data!$C$32:$D$32</c:f>
              <c:numCache>
                <c:formatCode>General</c:formatCode>
                <c:ptCount val="2"/>
                <c:pt idx="0">
                  <c:v>91</c:v>
                </c:pt>
                <c:pt idx="1">
                  <c:v>13</c:v>
                </c:pt>
              </c:numCache>
            </c:numRef>
          </c:val>
          <c:extLst>
            <c:ext xmlns:c16="http://schemas.microsoft.com/office/drawing/2014/chart" uri="{C3380CC4-5D6E-409C-BE32-E72D297353CC}">
              <c16:uniqueId val="{00000004-1FC3-4EC2-9305-D023A5852C97}"/>
            </c:ext>
          </c:extLst>
        </c:ser>
        <c:dLbls>
          <c:showLegendKey val="0"/>
          <c:showVal val="0"/>
          <c:showCatName val="0"/>
          <c:showSerName val="0"/>
          <c:showPercent val="1"/>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CC1B-4105-85FA-F27DA6FCEFA3}"/>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CC1B-4105-85FA-F27DA6FCEFA3}"/>
              </c:ext>
            </c:extLst>
          </c:dPt>
          <c:dLbls>
            <c:dLbl>
              <c:idx val="0"/>
              <c:delete val="1"/>
              <c:extLst>
                <c:ext xmlns:c15="http://schemas.microsoft.com/office/drawing/2012/chart" uri="{CE6537A1-D6FC-4f65-9D91-7224C49458BB}"/>
                <c:ext xmlns:c16="http://schemas.microsoft.com/office/drawing/2014/chart" uri="{C3380CC4-5D6E-409C-BE32-E72D297353CC}">
                  <c16:uniqueId val="{00000001-CC1B-4105-85FA-F27DA6FCEFA3}"/>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val>
            <c:numRef>
              <c:f>data!$C$33:$D$33</c:f>
              <c:numCache>
                <c:formatCode>General</c:formatCode>
                <c:ptCount val="2"/>
                <c:pt idx="0">
                  <c:v>36</c:v>
                </c:pt>
                <c:pt idx="1">
                  <c:v>1</c:v>
                </c:pt>
              </c:numCache>
            </c:numRef>
          </c:val>
          <c:extLst>
            <c:ext xmlns:c16="http://schemas.microsoft.com/office/drawing/2014/chart" uri="{C3380CC4-5D6E-409C-BE32-E72D297353CC}">
              <c16:uniqueId val="{00000004-CC1B-4105-85FA-F27DA6FCEFA3}"/>
            </c:ext>
          </c:extLst>
        </c:ser>
        <c:dLbls>
          <c:showLegendKey val="0"/>
          <c:showVal val="0"/>
          <c:showCatName val="0"/>
          <c:showSerName val="0"/>
          <c:showPercent val="1"/>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C85D-4371-8F27-E2E82DC8106E}"/>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C85D-4371-8F27-E2E82DC8106E}"/>
              </c:ext>
            </c:extLst>
          </c:dPt>
          <c:dLbls>
            <c:dLbl>
              <c:idx val="0"/>
              <c:delete val="1"/>
              <c:extLst>
                <c:ext xmlns:c15="http://schemas.microsoft.com/office/drawing/2012/chart" uri="{CE6537A1-D6FC-4f65-9D91-7224C49458BB}"/>
                <c:ext xmlns:c16="http://schemas.microsoft.com/office/drawing/2014/chart" uri="{C3380CC4-5D6E-409C-BE32-E72D297353CC}">
                  <c16:uniqueId val="{00000001-C85D-4371-8F27-E2E82DC8106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val>
            <c:numRef>
              <c:f>data!$C$34:$D$34</c:f>
              <c:numCache>
                <c:formatCode>General</c:formatCode>
                <c:ptCount val="2"/>
                <c:pt idx="0">
                  <c:v>31</c:v>
                </c:pt>
                <c:pt idx="1">
                  <c:v>6</c:v>
                </c:pt>
              </c:numCache>
            </c:numRef>
          </c:val>
          <c:extLst>
            <c:ext xmlns:c16="http://schemas.microsoft.com/office/drawing/2014/chart" uri="{C3380CC4-5D6E-409C-BE32-E72D297353CC}">
              <c16:uniqueId val="{00000004-C85D-4371-8F27-E2E82DC8106E}"/>
            </c:ext>
          </c:extLst>
        </c:ser>
        <c:dLbls>
          <c:showLegendKey val="0"/>
          <c:showVal val="0"/>
          <c:showCatName val="0"/>
          <c:showSerName val="0"/>
          <c:showPercent val="1"/>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BBE3-4A94-95AA-B48CC292C559}"/>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BBE3-4A94-95AA-B48CC292C559}"/>
              </c:ext>
            </c:extLst>
          </c:dPt>
          <c:dLbls>
            <c:dLbl>
              <c:idx val="0"/>
              <c:delete val="1"/>
              <c:extLst>
                <c:ext xmlns:c15="http://schemas.microsoft.com/office/drawing/2012/chart" uri="{CE6537A1-D6FC-4f65-9D91-7224C49458BB}"/>
                <c:ext xmlns:c16="http://schemas.microsoft.com/office/drawing/2014/chart" uri="{C3380CC4-5D6E-409C-BE32-E72D297353CC}">
                  <c16:uniqueId val="{00000001-BBE3-4A94-95AA-B48CC292C55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val>
            <c:numRef>
              <c:f>data!$C$35:$D$35</c:f>
              <c:numCache>
                <c:formatCode>General</c:formatCode>
                <c:ptCount val="2"/>
                <c:pt idx="0">
                  <c:v>3</c:v>
                </c:pt>
                <c:pt idx="1">
                  <c:v>34</c:v>
                </c:pt>
              </c:numCache>
            </c:numRef>
          </c:val>
          <c:extLst>
            <c:ext xmlns:c16="http://schemas.microsoft.com/office/drawing/2014/chart" uri="{C3380CC4-5D6E-409C-BE32-E72D297353CC}">
              <c16:uniqueId val="{00000004-BBE3-4A94-95AA-B48CC292C559}"/>
            </c:ext>
          </c:extLst>
        </c:ser>
        <c:dLbls>
          <c:showLegendKey val="0"/>
          <c:showVal val="0"/>
          <c:showCatName val="0"/>
          <c:showSerName val="0"/>
          <c:showPercent val="1"/>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30BF-4FB8-ADEB-20AF6B035DEB}"/>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30BF-4FB8-ADEB-20AF6B035DEB}"/>
              </c:ext>
            </c:extLst>
          </c:dPt>
          <c:dLbls>
            <c:dLbl>
              <c:idx val="0"/>
              <c:delete val="1"/>
              <c:extLst>
                <c:ext xmlns:c15="http://schemas.microsoft.com/office/drawing/2012/chart" uri="{CE6537A1-D6FC-4f65-9D91-7224C49458BB}"/>
                <c:ext xmlns:c16="http://schemas.microsoft.com/office/drawing/2014/chart" uri="{C3380CC4-5D6E-409C-BE32-E72D297353CC}">
                  <c16:uniqueId val="{00000001-30BF-4FB8-ADEB-20AF6B035DEB}"/>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val>
            <c:numRef>
              <c:f>data!$C$36:$D$36</c:f>
              <c:numCache>
                <c:formatCode>General</c:formatCode>
                <c:ptCount val="2"/>
                <c:pt idx="0">
                  <c:v>13</c:v>
                </c:pt>
                <c:pt idx="1">
                  <c:v>24</c:v>
                </c:pt>
              </c:numCache>
            </c:numRef>
          </c:val>
          <c:extLst>
            <c:ext xmlns:c16="http://schemas.microsoft.com/office/drawing/2014/chart" uri="{C3380CC4-5D6E-409C-BE32-E72D297353CC}">
              <c16:uniqueId val="{00000004-30BF-4FB8-ADEB-20AF6B035DEB}"/>
            </c:ext>
          </c:extLst>
        </c:ser>
        <c:dLbls>
          <c:showLegendKey val="0"/>
          <c:showVal val="0"/>
          <c:showCatName val="0"/>
          <c:showSerName val="0"/>
          <c:showPercent val="1"/>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BDAD-4C4D-8D1E-9D6DE797F153}"/>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BDAD-4C4D-8D1E-9D6DE797F153}"/>
              </c:ext>
            </c:extLst>
          </c:dPt>
          <c:dLbls>
            <c:dLbl>
              <c:idx val="0"/>
              <c:delete val="1"/>
              <c:extLst>
                <c:ext xmlns:c15="http://schemas.microsoft.com/office/drawing/2012/chart" uri="{CE6537A1-D6FC-4f65-9D91-7224C49458BB}"/>
                <c:ext xmlns:c16="http://schemas.microsoft.com/office/drawing/2014/chart" uri="{C3380CC4-5D6E-409C-BE32-E72D297353CC}">
                  <c16:uniqueId val="{00000001-BDAD-4C4D-8D1E-9D6DE797F153}"/>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val>
            <c:numRef>
              <c:f>data!$C$37:$D$37</c:f>
              <c:numCache>
                <c:formatCode>General</c:formatCode>
                <c:ptCount val="2"/>
                <c:pt idx="0">
                  <c:v>2</c:v>
                </c:pt>
                <c:pt idx="1">
                  <c:v>1</c:v>
                </c:pt>
              </c:numCache>
            </c:numRef>
          </c:val>
          <c:extLst>
            <c:ext xmlns:c16="http://schemas.microsoft.com/office/drawing/2014/chart" uri="{C3380CC4-5D6E-409C-BE32-E72D297353CC}">
              <c16:uniqueId val="{00000004-BDAD-4C4D-8D1E-9D6DE797F153}"/>
            </c:ext>
          </c:extLst>
        </c:ser>
        <c:dLbls>
          <c:showLegendKey val="0"/>
          <c:showVal val="0"/>
          <c:showCatName val="0"/>
          <c:showSerName val="0"/>
          <c:showPercent val="1"/>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58D8-45E7-8843-1B9CAA501F6B}"/>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58D8-45E7-8843-1B9CAA501F6B}"/>
              </c:ext>
            </c:extLst>
          </c:dPt>
          <c:dLbls>
            <c:dLbl>
              <c:idx val="0"/>
              <c:delete val="1"/>
              <c:extLst>
                <c:ext xmlns:c15="http://schemas.microsoft.com/office/drawing/2012/chart" uri="{CE6537A1-D6FC-4f65-9D91-7224C49458BB}"/>
                <c:ext xmlns:c16="http://schemas.microsoft.com/office/drawing/2014/chart" uri="{C3380CC4-5D6E-409C-BE32-E72D297353CC}">
                  <c16:uniqueId val="{00000001-58D8-45E7-8843-1B9CAA501F6B}"/>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val>
            <c:numRef>
              <c:f>data!$C$38:$D$38</c:f>
              <c:numCache>
                <c:formatCode>General</c:formatCode>
                <c:ptCount val="2"/>
                <c:pt idx="0">
                  <c:v>2</c:v>
                </c:pt>
                <c:pt idx="1">
                  <c:v>1</c:v>
                </c:pt>
              </c:numCache>
            </c:numRef>
          </c:val>
          <c:extLst>
            <c:ext xmlns:c16="http://schemas.microsoft.com/office/drawing/2014/chart" uri="{C3380CC4-5D6E-409C-BE32-E72D297353CC}">
              <c16:uniqueId val="{00000004-58D8-45E7-8843-1B9CAA501F6B}"/>
            </c:ext>
          </c:extLst>
        </c:ser>
        <c:dLbls>
          <c:showLegendKey val="0"/>
          <c:showVal val="0"/>
          <c:showCatName val="0"/>
          <c:showSerName val="0"/>
          <c:showPercent val="1"/>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AEFF-4AB7-BBC8-D0A961EEE778}"/>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AEFF-4AB7-BBC8-D0A961EEE778}"/>
              </c:ext>
            </c:extLst>
          </c:dPt>
          <c:dLbls>
            <c:dLbl>
              <c:idx val="0"/>
              <c:delete val="1"/>
              <c:extLst>
                <c:ext xmlns:c15="http://schemas.microsoft.com/office/drawing/2012/chart" uri="{CE6537A1-D6FC-4f65-9D91-7224C49458BB}"/>
                <c:ext xmlns:c16="http://schemas.microsoft.com/office/drawing/2014/chart" uri="{C3380CC4-5D6E-409C-BE32-E72D297353CC}">
                  <c16:uniqueId val="{00000001-AEFF-4AB7-BBC8-D0A961EEE778}"/>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val>
            <c:numRef>
              <c:f>data!$C$39:$D$39</c:f>
              <c:numCache>
                <c:formatCode>General</c:formatCode>
                <c:ptCount val="2"/>
                <c:pt idx="0">
                  <c:v>28</c:v>
                </c:pt>
                <c:pt idx="1">
                  <c:v>9</c:v>
                </c:pt>
              </c:numCache>
            </c:numRef>
          </c:val>
          <c:extLst>
            <c:ext xmlns:c16="http://schemas.microsoft.com/office/drawing/2014/chart" uri="{C3380CC4-5D6E-409C-BE32-E72D297353CC}">
              <c16:uniqueId val="{00000004-AEFF-4AB7-BBC8-D0A961EEE778}"/>
            </c:ext>
          </c:extLst>
        </c:ser>
        <c:dLbls>
          <c:showLegendKey val="0"/>
          <c:showVal val="0"/>
          <c:showCatName val="0"/>
          <c:showSerName val="0"/>
          <c:showPercent val="1"/>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FB58-48AA-A39A-B71103E1642B}"/>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FB58-48AA-A39A-B71103E1642B}"/>
              </c:ext>
            </c:extLst>
          </c:dPt>
          <c:dLbls>
            <c:dLbl>
              <c:idx val="0"/>
              <c:delete val="1"/>
              <c:extLst>
                <c:ext xmlns:c15="http://schemas.microsoft.com/office/drawing/2012/chart" uri="{CE6537A1-D6FC-4f65-9D91-7224C49458BB}"/>
                <c:ext xmlns:c16="http://schemas.microsoft.com/office/drawing/2014/chart" uri="{C3380CC4-5D6E-409C-BE32-E72D297353CC}">
                  <c16:uniqueId val="{00000001-FB58-48AA-A39A-B71103E1642B}"/>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val>
            <c:numRef>
              <c:f>data!$C$41:$D$41</c:f>
              <c:numCache>
                <c:formatCode>General</c:formatCode>
                <c:ptCount val="2"/>
                <c:pt idx="0">
                  <c:v>9</c:v>
                </c:pt>
                <c:pt idx="1">
                  <c:v>1</c:v>
                </c:pt>
              </c:numCache>
            </c:numRef>
          </c:val>
          <c:extLst>
            <c:ext xmlns:c16="http://schemas.microsoft.com/office/drawing/2014/chart" uri="{C3380CC4-5D6E-409C-BE32-E72D297353CC}">
              <c16:uniqueId val="{00000004-FB58-48AA-A39A-B71103E1642B}"/>
            </c:ext>
          </c:extLst>
        </c:ser>
        <c:dLbls>
          <c:showLegendKey val="0"/>
          <c:showVal val="0"/>
          <c:showCatName val="0"/>
          <c:showSerName val="0"/>
          <c:showPercent val="1"/>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CAF6-42B1-82A4-754330D9E94D}"/>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CAF6-42B1-82A4-754330D9E94D}"/>
              </c:ext>
            </c:extLst>
          </c:dPt>
          <c:dLbls>
            <c:dLbl>
              <c:idx val="0"/>
              <c:delete val="1"/>
              <c:extLst>
                <c:ext xmlns:c15="http://schemas.microsoft.com/office/drawing/2012/chart" uri="{CE6537A1-D6FC-4f65-9D91-7224C49458BB}"/>
                <c:ext xmlns:c16="http://schemas.microsoft.com/office/drawing/2014/chart" uri="{C3380CC4-5D6E-409C-BE32-E72D297353CC}">
                  <c16:uniqueId val="{00000001-CAF6-42B1-82A4-754330D9E94D}"/>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val>
            <c:numRef>
              <c:f>data!$C$42:$D$42</c:f>
              <c:numCache>
                <c:formatCode>General</c:formatCode>
                <c:ptCount val="2"/>
                <c:pt idx="0">
                  <c:v>10</c:v>
                </c:pt>
                <c:pt idx="1">
                  <c:v>0</c:v>
                </c:pt>
              </c:numCache>
            </c:numRef>
          </c:val>
          <c:extLst>
            <c:ext xmlns:c16="http://schemas.microsoft.com/office/drawing/2014/chart" uri="{C3380CC4-5D6E-409C-BE32-E72D297353CC}">
              <c16:uniqueId val="{00000004-CAF6-42B1-82A4-754330D9E94D}"/>
            </c:ext>
          </c:extLst>
        </c:ser>
        <c:dLbls>
          <c:showLegendKey val="0"/>
          <c:showVal val="0"/>
          <c:showCatName val="0"/>
          <c:showSerName val="0"/>
          <c:showPercent val="1"/>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D1B4-48DB-913A-455B7DD9582D}"/>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D1B4-48DB-913A-455B7DD9582D}"/>
              </c:ext>
            </c:extLst>
          </c:dPt>
          <c:dLbls>
            <c:dLbl>
              <c:idx val="0"/>
              <c:delete val="1"/>
              <c:extLst>
                <c:ext xmlns:c15="http://schemas.microsoft.com/office/drawing/2012/chart" uri="{CE6537A1-D6FC-4f65-9D91-7224C49458BB}"/>
                <c:ext xmlns:c16="http://schemas.microsoft.com/office/drawing/2014/chart" uri="{C3380CC4-5D6E-409C-BE32-E72D297353CC}">
                  <c16:uniqueId val="{00000001-D1B4-48DB-913A-455B7DD9582D}"/>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val>
            <c:numRef>
              <c:f>data!$C$43:$D$43</c:f>
              <c:numCache>
                <c:formatCode>General</c:formatCode>
                <c:ptCount val="2"/>
                <c:pt idx="0">
                  <c:v>2</c:v>
                </c:pt>
                <c:pt idx="1">
                  <c:v>0</c:v>
                </c:pt>
              </c:numCache>
            </c:numRef>
          </c:val>
          <c:extLst>
            <c:ext xmlns:c16="http://schemas.microsoft.com/office/drawing/2014/chart" uri="{C3380CC4-5D6E-409C-BE32-E72D297353CC}">
              <c16:uniqueId val="{00000004-D1B4-48DB-913A-455B7DD9582D}"/>
            </c:ext>
          </c:extLst>
        </c:ser>
        <c:dLbls>
          <c:showLegendKey val="0"/>
          <c:showVal val="0"/>
          <c:showCatName val="0"/>
          <c:showSerName val="0"/>
          <c:showPercent val="1"/>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35BB-421E-BF84-7DE101D19D35}"/>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35BB-421E-BF84-7DE101D19D35}"/>
              </c:ext>
            </c:extLst>
          </c:dPt>
          <c:dLbls>
            <c:dLbl>
              <c:idx val="0"/>
              <c:delete val="1"/>
              <c:extLst>
                <c:ext xmlns:c15="http://schemas.microsoft.com/office/drawing/2012/chart" uri="{CE6537A1-D6FC-4f65-9D91-7224C49458BB}"/>
                <c:ext xmlns:c16="http://schemas.microsoft.com/office/drawing/2014/chart" uri="{C3380CC4-5D6E-409C-BE32-E72D297353CC}">
                  <c16:uniqueId val="{00000001-35BB-421E-BF84-7DE101D19D35}"/>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val>
            <c:numRef>
              <c:f>data!$C$44:$D$44</c:f>
              <c:numCache>
                <c:formatCode>General</c:formatCode>
                <c:ptCount val="2"/>
                <c:pt idx="0">
                  <c:v>2</c:v>
                </c:pt>
                <c:pt idx="1">
                  <c:v>0</c:v>
                </c:pt>
              </c:numCache>
            </c:numRef>
          </c:val>
          <c:extLst>
            <c:ext xmlns:c16="http://schemas.microsoft.com/office/drawing/2014/chart" uri="{C3380CC4-5D6E-409C-BE32-E72D297353CC}">
              <c16:uniqueId val="{00000004-35BB-421E-BF84-7DE101D19D35}"/>
            </c:ext>
          </c:extLst>
        </c:ser>
        <c:dLbls>
          <c:showLegendKey val="0"/>
          <c:showVal val="0"/>
          <c:showCatName val="0"/>
          <c:showSerName val="0"/>
          <c:showPercent val="1"/>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0.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3" Type="http://schemas.openxmlformats.org/officeDocument/2006/relationships/chart" Target="../charts/chart8.xml"/><Relationship Id="rId18" Type="http://schemas.openxmlformats.org/officeDocument/2006/relationships/hyperlink" Target="#credentials!G1"/><Relationship Id="rId26" Type="http://schemas.openxmlformats.org/officeDocument/2006/relationships/chart" Target="../charts/chart17.xml"/><Relationship Id="rId3" Type="http://schemas.openxmlformats.org/officeDocument/2006/relationships/hyperlink" Target="#users!A1"/><Relationship Id="rId21" Type="http://schemas.openxmlformats.org/officeDocument/2006/relationships/chart" Target="../charts/chart13.xml"/><Relationship Id="rId34" Type="http://schemas.openxmlformats.org/officeDocument/2006/relationships/chart" Target="../charts/chart25.xml"/><Relationship Id="rId7" Type="http://schemas.openxmlformats.org/officeDocument/2006/relationships/chart" Target="../charts/chart4.xml"/><Relationship Id="rId12" Type="http://schemas.openxmlformats.org/officeDocument/2006/relationships/chart" Target="../charts/chart7.xml"/><Relationship Id="rId17" Type="http://schemas.openxmlformats.org/officeDocument/2006/relationships/chart" Target="../charts/chart11.xml"/><Relationship Id="rId25" Type="http://schemas.openxmlformats.org/officeDocument/2006/relationships/chart" Target="../charts/chart16.xml"/><Relationship Id="rId33" Type="http://schemas.openxmlformats.org/officeDocument/2006/relationships/chart" Target="../charts/chart24.xml"/><Relationship Id="rId2" Type="http://schemas.openxmlformats.org/officeDocument/2006/relationships/chart" Target="../charts/chart1.xml"/><Relationship Id="rId16" Type="http://schemas.openxmlformats.org/officeDocument/2006/relationships/chart" Target="../charts/chart10.xml"/><Relationship Id="rId20" Type="http://schemas.openxmlformats.org/officeDocument/2006/relationships/hyperlink" Target="#credentials!H1"/><Relationship Id="rId29" Type="http://schemas.openxmlformats.org/officeDocument/2006/relationships/chart" Target="../charts/chart20.xml"/><Relationship Id="rId1" Type="http://schemas.openxmlformats.org/officeDocument/2006/relationships/hyperlink" Target="#safes!A1"/><Relationship Id="rId6" Type="http://schemas.openxmlformats.org/officeDocument/2006/relationships/chart" Target="../charts/chart3.xml"/><Relationship Id="rId11" Type="http://schemas.openxmlformats.org/officeDocument/2006/relationships/hyperlink" Target="#groups!N1"/><Relationship Id="rId24" Type="http://schemas.openxmlformats.org/officeDocument/2006/relationships/chart" Target="../charts/chart15.xml"/><Relationship Id="rId32" Type="http://schemas.openxmlformats.org/officeDocument/2006/relationships/chart" Target="../charts/chart23.xml"/><Relationship Id="rId5" Type="http://schemas.openxmlformats.org/officeDocument/2006/relationships/chart" Target="../charts/chart2.xml"/><Relationship Id="rId15" Type="http://schemas.openxmlformats.org/officeDocument/2006/relationships/hyperlink" Target="#credentials!A1"/><Relationship Id="rId23" Type="http://schemas.openxmlformats.org/officeDocument/2006/relationships/chart" Target="../charts/chart14.xml"/><Relationship Id="rId28" Type="http://schemas.openxmlformats.org/officeDocument/2006/relationships/chart" Target="../charts/chart19.xml"/><Relationship Id="rId10" Type="http://schemas.openxmlformats.org/officeDocument/2006/relationships/chart" Target="../charts/chart6.xml"/><Relationship Id="rId19" Type="http://schemas.openxmlformats.org/officeDocument/2006/relationships/chart" Target="../charts/chart12.xml"/><Relationship Id="rId31" Type="http://schemas.openxmlformats.org/officeDocument/2006/relationships/chart" Target="../charts/chart22.xml"/><Relationship Id="rId4" Type="http://schemas.openxmlformats.org/officeDocument/2006/relationships/hyperlink" Target="#users!B1"/><Relationship Id="rId9" Type="http://schemas.openxmlformats.org/officeDocument/2006/relationships/hyperlink" Target="#groups!A1"/><Relationship Id="rId14" Type="http://schemas.openxmlformats.org/officeDocument/2006/relationships/chart" Target="../charts/chart9.xml"/><Relationship Id="rId22" Type="http://schemas.openxmlformats.org/officeDocument/2006/relationships/hyperlink" Target="#controldefects!A1"/><Relationship Id="rId27" Type="http://schemas.openxmlformats.org/officeDocument/2006/relationships/chart" Target="../charts/chart18.xml"/><Relationship Id="rId30" Type="http://schemas.openxmlformats.org/officeDocument/2006/relationships/chart" Target="../charts/chart21.xml"/><Relationship Id="rId35" Type="http://schemas.openxmlformats.org/officeDocument/2006/relationships/image" Target="../media/image1.png"/><Relationship Id="rId8"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editAs="oneCell">
    <xdr:from>
      <xdr:col>13</xdr:col>
      <xdr:colOff>342900</xdr:colOff>
      <xdr:row>0</xdr:row>
      <xdr:rowOff>209550</xdr:rowOff>
    </xdr:from>
    <xdr:to>
      <xdr:col>15</xdr:col>
      <xdr:colOff>561975</xdr:colOff>
      <xdr:row>0</xdr:row>
      <xdr:rowOff>722219</xdr:rowOff>
    </xdr:to>
    <xdr:pic>
      <xdr:nvPicPr>
        <xdr:cNvPr id="4" name="Image 3">
          <a:extLst>
            <a:ext uri="{FF2B5EF4-FFF2-40B4-BE49-F238E27FC236}">
              <a16:creationId xmlns:a16="http://schemas.microsoft.com/office/drawing/2014/main" id="{7BDF418B-44E0-EC60-12AC-3F974C0DC29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34550" y="209550"/>
          <a:ext cx="1743075" cy="51266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249555</xdr:colOff>
      <xdr:row>3</xdr:row>
      <xdr:rowOff>0</xdr:rowOff>
    </xdr:from>
    <xdr:to>
      <xdr:col>4</xdr:col>
      <xdr:colOff>393163</xdr:colOff>
      <xdr:row>18</xdr:row>
      <xdr:rowOff>22004</xdr:rowOff>
    </xdr:to>
    <xdr:grpSp>
      <xdr:nvGrpSpPr>
        <xdr:cNvPr id="8" name="Groupe 5">
          <a:extLst>
            <a:ext uri="{FF2B5EF4-FFF2-40B4-BE49-F238E27FC236}">
              <a16:creationId xmlns:a16="http://schemas.microsoft.com/office/drawing/2014/main" id="{6F8982B2-ABE7-4694-8CD5-F99EBD9FDBC7}"/>
            </a:ext>
          </a:extLst>
        </xdr:cNvPr>
        <xdr:cNvGrpSpPr/>
      </xdr:nvGrpSpPr>
      <xdr:grpSpPr>
        <a:xfrm>
          <a:off x="249555" y="1371600"/>
          <a:ext cx="2743933" cy="2879504"/>
          <a:chOff x="261717" y="1400175"/>
          <a:chExt cx="2843433" cy="2883314"/>
        </a:xfrm>
      </xdr:grpSpPr>
      <xdr:sp macro="" textlink="">
        <xdr:nvSpPr>
          <xdr:cNvPr id="9" name="ZoneTexte 74">
            <a:hlinkClick xmlns:r="http://schemas.openxmlformats.org/officeDocument/2006/relationships" r:id="rId1" tooltip="Show details"/>
            <a:extLst>
              <a:ext uri="{FF2B5EF4-FFF2-40B4-BE49-F238E27FC236}">
                <a16:creationId xmlns:a16="http://schemas.microsoft.com/office/drawing/2014/main" id="{15FA6C63-C74A-23EC-F7ED-616FA5AEC3A3}"/>
              </a:ext>
            </a:extLst>
          </xdr:cNvPr>
          <xdr:cNvSpPr txBox="1"/>
        </xdr:nvSpPr>
        <xdr:spPr>
          <a:xfrm>
            <a:off x="261717" y="1400175"/>
            <a:ext cx="2843433" cy="311496"/>
          </a:xfrm>
          <a:prstGeom prst="rect">
            <a:avLst/>
          </a:prstGeom>
          <a:noFill/>
          <a:ln>
            <a:noFill/>
          </a:ln>
          <a:effectLst/>
        </xdr:spPr>
        <xdr:txBody>
          <a:bodyPr vertOverflow="clip" horzOverflow="clip" wrap="square" rtlCol="0" anchor="t">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fr-FR" sz="1400" b="0" i="0" u="none" strike="noStrike" kern="0" cap="none" spc="0" normalizeH="0" baseline="0" noProof="0">
                <a:ln>
                  <a:noFill/>
                </a:ln>
                <a:solidFill>
                  <a:sysClr val="windowText" lastClr="000000"/>
                </a:solidFill>
                <a:effectLst/>
                <a:uLnTx/>
                <a:uFillTx/>
                <a:latin typeface="Calibri" panose="020F0502020204030204"/>
                <a:ea typeface="+mn-ea"/>
                <a:cs typeface="+mn-cs"/>
              </a:rPr>
              <a:t>Owned Safes</a:t>
            </a:r>
          </a:p>
        </xdr:txBody>
      </xdr:sp>
      <xdr:sp macro="" textlink="data!B4">
        <xdr:nvSpPr>
          <xdr:cNvPr id="10" name="CaixaDeTexto 4">
            <a:extLst>
              <a:ext uri="{FF2B5EF4-FFF2-40B4-BE49-F238E27FC236}">
                <a16:creationId xmlns:a16="http://schemas.microsoft.com/office/drawing/2014/main" id="{B80D2EF9-F207-65E0-790F-C35F855B7BAE}"/>
              </a:ext>
            </a:extLst>
          </xdr:cNvPr>
          <xdr:cNvSpPr txBox="1"/>
        </xdr:nvSpPr>
        <xdr:spPr>
          <a:xfrm>
            <a:off x="766542" y="1809750"/>
            <a:ext cx="1786206" cy="5788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fld id="{23A7F261-6AEC-4440-B53E-8FBF5FC19AF1}" type="TxLink">
              <a:rPr lang="en-US" sz="3600" b="0" i="0" u="none" strike="noStrike" noProof="0">
                <a:solidFill>
                  <a:srgbClr val="000000"/>
                </a:solidFill>
                <a:latin typeface="Calibri"/>
                <a:ea typeface="+mn-ea"/>
                <a:cs typeface="Calibri"/>
              </a:rPr>
              <a:pPr marL="0" marR="0" lvl="0" indent="0" algn="ctr" defTabSz="914400" eaLnBrk="1" fontAlgn="auto" latinLnBrk="0" hangingPunct="1">
                <a:lnSpc>
                  <a:spcPct val="100000"/>
                </a:lnSpc>
                <a:spcBef>
                  <a:spcPts val="0"/>
                </a:spcBef>
                <a:spcAft>
                  <a:spcPts val="0"/>
                </a:spcAft>
                <a:buClrTx/>
                <a:buSzTx/>
                <a:buFontTx/>
                <a:buNone/>
                <a:tabLst/>
                <a:defRPr/>
              </a:pPr>
              <a:t>2</a:t>
            </a:fld>
            <a:endParaRPr lang="fr-CA" sz="3600" b="0" i="0" u="none" strike="noStrike" noProof="0">
              <a:solidFill>
                <a:srgbClr val="000000"/>
              </a:solidFill>
              <a:latin typeface="Calibri"/>
              <a:ea typeface="+mn-ea"/>
              <a:cs typeface="Calibri"/>
            </a:endParaRPr>
          </a:p>
        </xdr:txBody>
      </xdr:sp>
      <xdr:sp macro="" textlink="">
        <xdr:nvSpPr>
          <xdr:cNvPr id="11" name="ZoneTexte 79">
            <a:extLst>
              <a:ext uri="{FF2B5EF4-FFF2-40B4-BE49-F238E27FC236}">
                <a16:creationId xmlns:a16="http://schemas.microsoft.com/office/drawing/2014/main" id="{81F0EF87-C1B3-BC59-DDFE-D62C01013D56}"/>
              </a:ext>
            </a:extLst>
          </xdr:cNvPr>
          <xdr:cNvSpPr txBox="1"/>
        </xdr:nvSpPr>
        <xdr:spPr>
          <a:xfrm>
            <a:off x="576042" y="2609850"/>
            <a:ext cx="2249888" cy="1673639"/>
          </a:xfrm>
          <a:prstGeom prst="rect">
            <a:avLst/>
          </a:prstGeom>
          <a:noFill/>
          <a:ln w="9525" cmpd="sng">
            <a:no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fr-FR" sz="1100" b="0" i="0" u="none" strike="noStrike" kern="0" cap="none" spc="0" normalizeH="0" baseline="0" noProof="0">
                <a:ln>
                  <a:noFill/>
                </a:ln>
                <a:solidFill>
                  <a:sysClr val="windowText" lastClr="000000"/>
                </a:solidFill>
                <a:effectLst/>
                <a:uLnTx/>
                <a:uFillTx/>
                <a:latin typeface="Calibri" panose="020F0502020204030204"/>
                <a:ea typeface="+mn-ea"/>
                <a:cs typeface="+mn-cs"/>
              </a:rPr>
              <a:t>Number of safe you own. Only safes you can administrate are considered here. Safes for which you can only use and/or retrieve secrets are excluded.</a:t>
            </a:r>
          </a:p>
        </xdr:txBody>
      </xdr:sp>
    </xdr:grpSp>
    <xdr:clientData/>
  </xdr:twoCellAnchor>
  <xdr:twoCellAnchor>
    <xdr:from>
      <xdr:col>4</xdr:col>
      <xdr:colOff>614409</xdr:colOff>
      <xdr:row>3</xdr:row>
      <xdr:rowOff>0</xdr:rowOff>
    </xdr:from>
    <xdr:to>
      <xdr:col>8</xdr:col>
      <xdr:colOff>224139</xdr:colOff>
      <xdr:row>18</xdr:row>
      <xdr:rowOff>18194</xdr:rowOff>
    </xdr:to>
    <xdr:grpSp>
      <xdr:nvGrpSpPr>
        <xdr:cNvPr id="16" name="Group 15">
          <a:extLst>
            <a:ext uri="{FF2B5EF4-FFF2-40B4-BE49-F238E27FC236}">
              <a16:creationId xmlns:a16="http://schemas.microsoft.com/office/drawing/2014/main" id="{DBB11179-5D7A-6744-B5AF-20EAE80587FC}"/>
            </a:ext>
          </a:extLst>
        </xdr:cNvPr>
        <xdr:cNvGrpSpPr/>
      </xdr:nvGrpSpPr>
      <xdr:grpSpPr>
        <a:xfrm>
          <a:off x="3214734" y="1371600"/>
          <a:ext cx="2733930" cy="2875694"/>
          <a:chOff x="2819400" y="1363980"/>
          <a:chExt cx="2912013" cy="2761394"/>
        </a:xfrm>
      </xdr:grpSpPr>
      <xdr:sp macro="" textlink="">
        <xdr:nvSpPr>
          <xdr:cNvPr id="13" name="ZoneTexte 74">
            <a:hlinkClick xmlns:r="http://schemas.openxmlformats.org/officeDocument/2006/relationships" r:id="rId1" tooltip="Show details"/>
            <a:extLst>
              <a:ext uri="{FF2B5EF4-FFF2-40B4-BE49-F238E27FC236}">
                <a16:creationId xmlns:a16="http://schemas.microsoft.com/office/drawing/2014/main" id="{46D454B7-57A0-5D92-318F-802AAD5B833F}"/>
              </a:ext>
            </a:extLst>
          </xdr:cNvPr>
          <xdr:cNvSpPr txBox="1"/>
        </xdr:nvSpPr>
        <xdr:spPr>
          <a:xfrm>
            <a:off x="2819400" y="1363980"/>
            <a:ext cx="2912013" cy="298324"/>
          </a:xfrm>
          <a:prstGeom prst="rect">
            <a:avLst/>
          </a:prstGeom>
          <a:noFill/>
          <a:ln>
            <a:noFill/>
          </a:ln>
          <a:effectLst/>
        </xdr:spPr>
        <xdr:txBody>
          <a:bodyPr vertOverflow="clip" horzOverflow="clip" wrap="square" rtlCol="0" anchor="t">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fr-FR" sz="1400" b="0" i="0" u="none" strike="noStrike" kern="0" cap="none" spc="0" normalizeH="0" baseline="0" noProof="0">
                <a:ln>
                  <a:noFill/>
                </a:ln>
                <a:solidFill>
                  <a:sysClr val="windowText" lastClr="000000"/>
                </a:solidFill>
                <a:effectLst/>
                <a:uLnTx/>
                <a:uFillTx/>
                <a:latin typeface="Calibri" panose="020F0502020204030204"/>
                <a:ea typeface="+mn-ea"/>
                <a:cs typeface="+mn-cs"/>
              </a:rPr>
              <a:t>New Owned Safes</a:t>
            </a:r>
          </a:p>
        </xdr:txBody>
      </xdr:sp>
      <xdr:sp macro="" textlink="data!B3">
        <xdr:nvSpPr>
          <xdr:cNvPr id="14" name="CaixaDeTexto 4">
            <a:extLst>
              <a:ext uri="{FF2B5EF4-FFF2-40B4-BE49-F238E27FC236}">
                <a16:creationId xmlns:a16="http://schemas.microsoft.com/office/drawing/2014/main" id="{CADB3A23-FF0E-07C0-2A5D-1CDFB11D9D2E}"/>
              </a:ext>
            </a:extLst>
          </xdr:cNvPr>
          <xdr:cNvSpPr txBox="1"/>
        </xdr:nvSpPr>
        <xdr:spPr>
          <a:xfrm>
            <a:off x="3336401" y="1756236"/>
            <a:ext cx="1829287" cy="5543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fld id="{86353599-D3FF-4146-A78B-5B6311DA0532}" type="TxLink">
              <a:rPr lang="en-US" sz="3600" b="0" i="0" u="none" strike="noStrike" noProof="0">
                <a:solidFill>
                  <a:srgbClr val="000000"/>
                </a:solidFill>
                <a:latin typeface="Calibri"/>
                <a:ea typeface="+mn-ea"/>
                <a:cs typeface="Calibri"/>
              </a:rPr>
              <a:pPr marL="0" marR="0" lvl="0" indent="0" algn="ctr" defTabSz="914400" eaLnBrk="1" fontAlgn="auto" latinLnBrk="0" hangingPunct="1">
                <a:lnSpc>
                  <a:spcPct val="100000"/>
                </a:lnSpc>
                <a:spcBef>
                  <a:spcPts val="0"/>
                </a:spcBef>
                <a:spcAft>
                  <a:spcPts val="0"/>
                </a:spcAft>
                <a:buClrTx/>
                <a:buSzTx/>
                <a:buFontTx/>
                <a:buNone/>
                <a:tabLst/>
                <a:defRPr/>
              </a:pPr>
              <a:t>0</a:t>
            </a:fld>
            <a:endParaRPr lang="fr-CA" sz="8800" b="0" i="0" u="none" strike="noStrike" noProof="0">
              <a:solidFill>
                <a:srgbClr val="000000"/>
              </a:solidFill>
              <a:latin typeface="Calibri"/>
              <a:ea typeface="+mn-ea"/>
              <a:cs typeface="Calibri"/>
            </a:endParaRPr>
          </a:p>
        </xdr:txBody>
      </xdr:sp>
      <xdr:sp macro="" textlink="">
        <xdr:nvSpPr>
          <xdr:cNvPr id="15" name="ZoneTexte 79">
            <a:extLst>
              <a:ext uri="{FF2B5EF4-FFF2-40B4-BE49-F238E27FC236}">
                <a16:creationId xmlns:a16="http://schemas.microsoft.com/office/drawing/2014/main" id="{129DA5B4-0CA5-FFA5-1812-49BB5F0618FC}"/>
              </a:ext>
            </a:extLst>
          </xdr:cNvPr>
          <xdr:cNvSpPr txBox="1"/>
        </xdr:nvSpPr>
        <xdr:spPr>
          <a:xfrm>
            <a:off x="3141306" y="2522504"/>
            <a:ext cx="2304152" cy="1602870"/>
          </a:xfrm>
          <a:prstGeom prst="rect">
            <a:avLst/>
          </a:prstGeom>
          <a:noFill/>
          <a:ln w="9525" cmpd="sng">
            <a:no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fr-FR" sz="1100" b="0" i="0" u="none" strike="noStrike" kern="0" cap="none" spc="0" normalizeH="0" baseline="0" noProof="0">
                <a:ln>
                  <a:noFill/>
                </a:ln>
                <a:solidFill>
                  <a:sysClr val="windowText" lastClr="000000"/>
                </a:solidFill>
                <a:effectLst/>
                <a:uLnTx/>
                <a:uFillTx/>
                <a:latin typeface="Calibri" panose="020F0502020204030204"/>
                <a:ea typeface="+mn-ea"/>
                <a:cs typeface="+mn-cs"/>
              </a:rPr>
              <a:t>Number of new safe you own since the last PAM Booster analysis.</a:t>
            </a:r>
          </a:p>
        </xdr:txBody>
      </xdr:sp>
    </xdr:grpSp>
    <xdr:clientData/>
  </xdr:twoCellAnchor>
  <xdr:twoCellAnchor>
    <xdr:from>
      <xdr:col>4</xdr:col>
      <xdr:colOff>630584</xdr:colOff>
      <xdr:row>34</xdr:row>
      <xdr:rowOff>57150</xdr:rowOff>
    </xdr:from>
    <xdr:to>
      <xdr:col>8</xdr:col>
      <xdr:colOff>211739</xdr:colOff>
      <xdr:row>52</xdr:row>
      <xdr:rowOff>129541</xdr:rowOff>
    </xdr:to>
    <xdr:grpSp>
      <xdr:nvGrpSpPr>
        <xdr:cNvPr id="17" name="Groupe 105">
          <a:extLst>
            <a:ext uri="{FF2B5EF4-FFF2-40B4-BE49-F238E27FC236}">
              <a16:creationId xmlns:a16="http://schemas.microsoft.com/office/drawing/2014/main" id="{104DDCAB-0226-4CD8-B6C2-033E0E39A84A}"/>
            </a:ext>
          </a:extLst>
        </xdr:cNvPr>
        <xdr:cNvGrpSpPr/>
      </xdr:nvGrpSpPr>
      <xdr:grpSpPr>
        <a:xfrm>
          <a:off x="3230909" y="7410450"/>
          <a:ext cx="2705355" cy="3501391"/>
          <a:chOff x="433167" y="1600200"/>
          <a:chExt cx="2852958" cy="3230036"/>
        </a:xfrm>
      </xdr:grpSpPr>
      <xdr:grpSp>
        <xdr:nvGrpSpPr>
          <xdr:cNvPr id="18" name="Groupe 106">
            <a:extLst>
              <a:ext uri="{FF2B5EF4-FFF2-40B4-BE49-F238E27FC236}">
                <a16:creationId xmlns:a16="http://schemas.microsoft.com/office/drawing/2014/main" id="{618C67BA-3E53-891F-9581-8BD253530943}"/>
              </a:ext>
            </a:extLst>
          </xdr:cNvPr>
          <xdr:cNvGrpSpPr/>
        </xdr:nvGrpSpPr>
        <xdr:grpSpPr>
          <a:xfrm>
            <a:off x="433167" y="1600200"/>
            <a:ext cx="2852958" cy="2486025"/>
            <a:chOff x="433167" y="1600200"/>
            <a:chExt cx="2852958" cy="2486025"/>
          </a:xfrm>
        </xdr:grpSpPr>
        <xdr:graphicFrame macro="">
          <xdr:nvGraphicFramePr>
            <xdr:cNvPr id="20" name="Graphique 108">
              <a:extLst>
                <a:ext uri="{FF2B5EF4-FFF2-40B4-BE49-F238E27FC236}">
                  <a16:creationId xmlns:a16="http://schemas.microsoft.com/office/drawing/2014/main" id="{FE84D818-2ED8-B8E8-E467-0F698BE7A611}"/>
                </a:ext>
              </a:extLst>
            </xdr:cNvPr>
            <xdr:cNvGraphicFramePr/>
          </xdr:nvGraphicFramePr>
          <xdr:xfrm>
            <a:off x="628650" y="1771650"/>
            <a:ext cx="2495402" cy="2314575"/>
          </xdr:xfrm>
          <a:graphic>
            <a:graphicData uri="http://schemas.openxmlformats.org/drawingml/2006/chart">
              <c:chart xmlns:c="http://schemas.openxmlformats.org/drawingml/2006/chart" xmlns:r="http://schemas.openxmlformats.org/officeDocument/2006/relationships" r:id="rId2"/>
            </a:graphicData>
          </a:graphic>
        </xdr:graphicFrame>
        <xdr:sp macro="" textlink="data!D11">
          <xdr:nvSpPr>
            <xdr:cNvPr id="21" name="CaixaDeTexto 4">
              <a:extLst>
                <a:ext uri="{FF2B5EF4-FFF2-40B4-BE49-F238E27FC236}">
                  <a16:creationId xmlns:a16="http://schemas.microsoft.com/office/drawing/2014/main" id="{E417B530-6234-A1EC-447B-89950DB205E1}"/>
                </a:ext>
              </a:extLst>
            </xdr:cNvPr>
            <xdr:cNvSpPr txBox="1"/>
          </xdr:nvSpPr>
          <xdr:spPr>
            <a:xfrm>
              <a:off x="978248" y="2643634"/>
              <a:ext cx="1792189" cy="5534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67432458-198B-4987-8071-0E16C13D5C9B}" type="TxLink">
                <a:rPr lang="en-US" sz="3600" b="0" i="0" u="none" strike="noStrike">
                  <a:solidFill>
                    <a:srgbClr val="000000"/>
                  </a:solidFill>
                  <a:latin typeface="Calibri"/>
                  <a:cs typeface="Calibri"/>
                </a:rPr>
                <a:pPr algn="ctr"/>
                <a:t>0</a:t>
              </a:fld>
              <a:endParaRPr lang="fr-CA" sz="3600" b="0"/>
            </a:p>
          </xdr:txBody>
        </xdr:sp>
        <xdr:sp macro="" textlink="">
          <xdr:nvSpPr>
            <xdr:cNvPr id="22" name="ZoneTexte 110">
              <a:hlinkClick xmlns:r="http://schemas.openxmlformats.org/officeDocument/2006/relationships" r:id="rId3" tooltip="Show details"/>
              <a:extLst>
                <a:ext uri="{FF2B5EF4-FFF2-40B4-BE49-F238E27FC236}">
                  <a16:creationId xmlns:a16="http://schemas.microsoft.com/office/drawing/2014/main" id="{0DE92655-87E1-F966-281C-89E43251899C}"/>
                </a:ext>
              </a:extLst>
            </xdr:cNvPr>
            <xdr:cNvSpPr txBox="1"/>
          </xdr:nvSpPr>
          <xdr:spPr>
            <a:xfrm>
              <a:off x="433167" y="1600200"/>
              <a:ext cx="2852958" cy="3092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fr-FR" sz="1400"/>
                <a:t>New EPV</a:t>
              </a:r>
              <a:r>
                <a:rPr lang="fr-FR" sz="1400" baseline="0"/>
                <a:t> Users</a:t>
              </a:r>
              <a:endParaRPr lang="fr-FR" sz="1400"/>
            </a:p>
          </xdr:txBody>
        </xdr:sp>
      </xdr:grpSp>
      <xdr:sp macro="" textlink="">
        <xdr:nvSpPr>
          <xdr:cNvPr id="19" name="ZoneTexte 107">
            <a:extLst>
              <a:ext uri="{FF2B5EF4-FFF2-40B4-BE49-F238E27FC236}">
                <a16:creationId xmlns:a16="http://schemas.microsoft.com/office/drawing/2014/main" id="{546B9A58-9E14-7851-91E1-9A2579C3926C}"/>
              </a:ext>
            </a:extLst>
          </xdr:cNvPr>
          <xdr:cNvSpPr txBox="1"/>
        </xdr:nvSpPr>
        <xdr:spPr>
          <a:xfrm>
            <a:off x="762000" y="3943350"/>
            <a:ext cx="2257425" cy="8868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t>Effective new EPV</a:t>
            </a:r>
            <a:r>
              <a:rPr lang="fr-FR" sz="1100" baseline="0"/>
              <a:t> users since the last PAM Booster analysis with regard to the total of effective EPV users</a:t>
            </a:r>
            <a:r>
              <a:rPr lang="fr-FR" sz="1100"/>
              <a:t>.</a:t>
            </a:r>
          </a:p>
        </xdr:txBody>
      </xdr:sp>
    </xdr:grpSp>
    <xdr:clientData/>
  </xdr:twoCellAnchor>
  <xdr:twoCellAnchor>
    <xdr:from>
      <xdr:col>8</xdr:col>
      <xdr:colOff>441575</xdr:colOff>
      <xdr:row>3</xdr:row>
      <xdr:rowOff>0</xdr:rowOff>
    </xdr:from>
    <xdr:to>
      <xdr:col>12</xdr:col>
      <xdr:colOff>47495</xdr:colOff>
      <xdr:row>18</xdr:row>
      <xdr:rowOff>8669</xdr:rowOff>
    </xdr:to>
    <xdr:grpSp>
      <xdr:nvGrpSpPr>
        <xdr:cNvPr id="27" name="Groupe 5">
          <a:extLst>
            <a:ext uri="{FF2B5EF4-FFF2-40B4-BE49-F238E27FC236}">
              <a16:creationId xmlns:a16="http://schemas.microsoft.com/office/drawing/2014/main" id="{3174088F-56BC-4E24-851C-37CEB66B55F6}"/>
            </a:ext>
          </a:extLst>
        </xdr:cNvPr>
        <xdr:cNvGrpSpPr/>
      </xdr:nvGrpSpPr>
      <xdr:grpSpPr>
        <a:xfrm>
          <a:off x="6166100" y="1371600"/>
          <a:ext cx="2730120" cy="2866169"/>
          <a:chOff x="261717" y="1400175"/>
          <a:chExt cx="2843433" cy="2883314"/>
        </a:xfrm>
      </xdr:grpSpPr>
      <xdr:sp macro="" textlink="">
        <xdr:nvSpPr>
          <xdr:cNvPr id="28" name="ZoneTexte 74">
            <a:hlinkClick xmlns:r="http://schemas.openxmlformats.org/officeDocument/2006/relationships" r:id="rId3" tooltip="Show details"/>
            <a:extLst>
              <a:ext uri="{FF2B5EF4-FFF2-40B4-BE49-F238E27FC236}">
                <a16:creationId xmlns:a16="http://schemas.microsoft.com/office/drawing/2014/main" id="{66701863-E5B1-C4ED-1D17-498B43F0CDC0}"/>
              </a:ext>
            </a:extLst>
          </xdr:cNvPr>
          <xdr:cNvSpPr txBox="1"/>
        </xdr:nvSpPr>
        <xdr:spPr>
          <a:xfrm>
            <a:off x="261717" y="1400175"/>
            <a:ext cx="2843433" cy="311496"/>
          </a:xfrm>
          <a:prstGeom prst="rect">
            <a:avLst/>
          </a:prstGeom>
          <a:noFill/>
          <a:ln>
            <a:noFill/>
          </a:ln>
          <a:effectLst/>
        </xdr:spPr>
        <xdr:txBody>
          <a:bodyPr vertOverflow="clip" horzOverflow="clip" wrap="square" rtlCol="0" anchor="t">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fr-FR" sz="1400" b="0" i="0" u="none" strike="noStrike" kern="0" cap="none" spc="0" normalizeH="0" baseline="0" noProof="0">
                <a:ln>
                  <a:noFill/>
                </a:ln>
                <a:solidFill>
                  <a:sysClr val="windowText" lastClr="000000"/>
                </a:solidFill>
                <a:effectLst/>
                <a:uLnTx/>
                <a:uFillTx/>
                <a:latin typeface="Calibri" panose="020F0502020204030204"/>
                <a:ea typeface="+mn-ea"/>
                <a:cs typeface="+mn-cs"/>
              </a:rPr>
              <a:t>Active Users</a:t>
            </a:r>
          </a:p>
        </xdr:txBody>
      </xdr:sp>
      <xdr:sp macro="" textlink="data!B8">
        <xdr:nvSpPr>
          <xdr:cNvPr id="29" name="CaixaDeTexto 4">
            <a:extLst>
              <a:ext uri="{FF2B5EF4-FFF2-40B4-BE49-F238E27FC236}">
                <a16:creationId xmlns:a16="http://schemas.microsoft.com/office/drawing/2014/main" id="{AF81B2ED-2BCB-C24A-5F88-0D60E2A5345F}"/>
              </a:ext>
            </a:extLst>
          </xdr:cNvPr>
          <xdr:cNvSpPr txBox="1"/>
        </xdr:nvSpPr>
        <xdr:spPr>
          <a:xfrm>
            <a:off x="766542" y="1809750"/>
            <a:ext cx="1786206" cy="5788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fld id="{FA7F88C9-AF09-4064-9F14-691173BABD13}" type="TxLink">
              <a:rPr lang="en-US" sz="3600" b="0" i="0" u="none" strike="noStrike" noProof="0">
                <a:solidFill>
                  <a:srgbClr val="000000"/>
                </a:solidFill>
                <a:latin typeface="Calibri"/>
                <a:ea typeface="+mn-ea"/>
                <a:cs typeface="Calibri"/>
              </a:rPr>
              <a:pPr marL="0" marR="0" lvl="0" indent="0" algn="ctr" defTabSz="914400" eaLnBrk="1" fontAlgn="auto" latinLnBrk="0" hangingPunct="1">
                <a:lnSpc>
                  <a:spcPct val="100000"/>
                </a:lnSpc>
                <a:spcBef>
                  <a:spcPts val="0"/>
                </a:spcBef>
                <a:spcAft>
                  <a:spcPts val="0"/>
                </a:spcAft>
                <a:buClrTx/>
                <a:buSzTx/>
                <a:buFontTx/>
                <a:buNone/>
                <a:tabLst/>
                <a:defRPr/>
              </a:pPr>
              <a:t>37</a:t>
            </a:fld>
            <a:endParaRPr lang="fr-CA" sz="8800" b="0" i="0" u="none" strike="noStrike" noProof="0">
              <a:solidFill>
                <a:srgbClr val="000000"/>
              </a:solidFill>
              <a:latin typeface="Calibri"/>
              <a:ea typeface="+mn-ea"/>
              <a:cs typeface="Calibri"/>
            </a:endParaRPr>
          </a:p>
        </xdr:txBody>
      </xdr:sp>
      <xdr:sp macro="" textlink="">
        <xdr:nvSpPr>
          <xdr:cNvPr id="30" name="ZoneTexte 79">
            <a:extLst>
              <a:ext uri="{FF2B5EF4-FFF2-40B4-BE49-F238E27FC236}">
                <a16:creationId xmlns:a16="http://schemas.microsoft.com/office/drawing/2014/main" id="{5CEDBD7D-A318-8FA1-DAE6-9DF7EB8D8B9F}"/>
              </a:ext>
            </a:extLst>
          </xdr:cNvPr>
          <xdr:cNvSpPr txBox="1"/>
        </xdr:nvSpPr>
        <xdr:spPr>
          <a:xfrm>
            <a:off x="576042" y="2609850"/>
            <a:ext cx="2249888" cy="1673639"/>
          </a:xfrm>
          <a:prstGeom prst="rect">
            <a:avLst/>
          </a:prstGeom>
          <a:noFill/>
          <a:ln w="9525" cmpd="sng">
            <a:no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fr-FR" sz="1100" b="0" i="0" u="none" strike="noStrike" kern="0" cap="none" spc="0" normalizeH="0" baseline="0" noProof="0">
                <a:ln>
                  <a:noFill/>
                </a:ln>
                <a:solidFill>
                  <a:sysClr val="windowText" lastClr="000000"/>
                </a:solidFill>
                <a:effectLst/>
                <a:uLnTx/>
                <a:uFillTx/>
                <a:latin typeface="Calibri" panose="020F0502020204030204"/>
                <a:ea typeface="+mn-ea"/>
                <a:cs typeface="+mn-cs"/>
              </a:rPr>
              <a:t>All active users or those that have not been deactivated and have at least one authorization in CyberArk. It includes users that have never login so that they do not use one CyberArk license seat.</a:t>
            </a:r>
          </a:p>
        </xdr:txBody>
      </xdr:sp>
    </xdr:grpSp>
    <xdr:clientData/>
  </xdr:twoCellAnchor>
  <xdr:twoCellAnchor>
    <xdr:from>
      <xdr:col>12</xdr:col>
      <xdr:colOff>264931</xdr:colOff>
      <xdr:row>3</xdr:row>
      <xdr:rowOff>0</xdr:rowOff>
    </xdr:from>
    <xdr:to>
      <xdr:col>15</xdr:col>
      <xdr:colOff>636436</xdr:colOff>
      <xdr:row>18</xdr:row>
      <xdr:rowOff>22004</xdr:rowOff>
    </xdr:to>
    <xdr:grpSp>
      <xdr:nvGrpSpPr>
        <xdr:cNvPr id="31" name="Groupe 5">
          <a:extLst>
            <a:ext uri="{FF2B5EF4-FFF2-40B4-BE49-F238E27FC236}">
              <a16:creationId xmlns:a16="http://schemas.microsoft.com/office/drawing/2014/main" id="{D0D8807B-8AD8-463D-87D5-F95561C1D582}"/>
            </a:ext>
          </a:extLst>
        </xdr:cNvPr>
        <xdr:cNvGrpSpPr/>
      </xdr:nvGrpSpPr>
      <xdr:grpSpPr>
        <a:xfrm>
          <a:off x="9113656" y="1371600"/>
          <a:ext cx="2714655" cy="2879504"/>
          <a:chOff x="261717" y="1400175"/>
          <a:chExt cx="2843433" cy="2883314"/>
        </a:xfrm>
      </xdr:grpSpPr>
      <xdr:sp macro="" textlink="">
        <xdr:nvSpPr>
          <xdr:cNvPr id="32" name="ZoneTexte 74">
            <a:hlinkClick xmlns:r="http://schemas.openxmlformats.org/officeDocument/2006/relationships" r:id="rId4" tooltip="Show details"/>
            <a:extLst>
              <a:ext uri="{FF2B5EF4-FFF2-40B4-BE49-F238E27FC236}">
                <a16:creationId xmlns:a16="http://schemas.microsoft.com/office/drawing/2014/main" id="{D1B92D5C-E0EC-9632-9F1D-35B7DC2B5731}"/>
              </a:ext>
            </a:extLst>
          </xdr:cNvPr>
          <xdr:cNvSpPr txBox="1"/>
        </xdr:nvSpPr>
        <xdr:spPr>
          <a:xfrm>
            <a:off x="261717" y="1400175"/>
            <a:ext cx="2843433" cy="311496"/>
          </a:xfrm>
          <a:prstGeom prst="rect">
            <a:avLst/>
          </a:prstGeom>
          <a:noFill/>
          <a:ln>
            <a:noFill/>
          </a:ln>
          <a:effectLst/>
        </xdr:spPr>
        <xdr:txBody>
          <a:bodyPr vertOverflow="clip" horzOverflow="clip" wrap="square" rtlCol="0" anchor="t">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fr-FR" sz="1400" b="0" i="0" u="none" strike="noStrike" kern="0" cap="none" spc="0" normalizeH="0" baseline="0" noProof="0">
                <a:ln>
                  <a:noFill/>
                </a:ln>
                <a:solidFill>
                  <a:sysClr val="windowText" lastClr="000000"/>
                </a:solidFill>
                <a:effectLst/>
                <a:uLnTx/>
                <a:uFillTx/>
                <a:latin typeface="Calibri" panose="020F0502020204030204"/>
                <a:ea typeface="+mn-ea"/>
                <a:cs typeface="+mn-cs"/>
              </a:rPr>
              <a:t>Effective Users</a:t>
            </a:r>
          </a:p>
        </xdr:txBody>
      </xdr:sp>
      <xdr:sp macro="" textlink="data!B10">
        <xdr:nvSpPr>
          <xdr:cNvPr id="33" name="CaixaDeTexto 4">
            <a:extLst>
              <a:ext uri="{FF2B5EF4-FFF2-40B4-BE49-F238E27FC236}">
                <a16:creationId xmlns:a16="http://schemas.microsoft.com/office/drawing/2014/main" id="{05525F63-01BC-0595-8CA4-D5484E1BE36F}"/>
              </a:ext>
            </a:extLst>
          </xdr:cNvPr>
          <xdr:cNvSpPr txBox="1"/>
        </xdr:nvSpPr>
        <xdr:spPr>
          <a:xfrm>
            <a:off x="766542" y="1809750"/>
            <a:ext cx="1786206" cy="5788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fld id="{8DFA7F4E-1EBE-49F8-A91F-E06A24DD6723}" type="TxLink">
              <a:rPr lang="en-US" sz="3600" b="0" i="0" u="none" strike="noStrike" noProof="0">
                <a:solidFill>
                  <a:srgbClr val="000000"/>
                </a:solidFill>
                <a:latin typeface="Calibri"/>
                <a:ea typeface="+mn-ea"/>
                <a:cs typeface="Calibri"/>
              </a:rPr>
              <a:pPr marL="0" marR="0" lvl="0" indent="0" algn="ctr" defTabSz="914400" eaLnBrk="1" fontAlgn="auto" latinLnBrk="0" hangingPunct="1">
                <a:lnSpc>
                  <a:spcPct val="100000"/>
                </a:lnSpc>
                <a:spcBef>
                  <a:spcPts val="0"/>
                </a:spcBef>
                <a:spcAft>
                  <a:spcPts val="0"/>
                </a:spcAft>
                <a:buClrTx/>
                <a:buSzTx/>
                <a:buFontTx/>
                <a:buNone/>
                <a:tabLst/>
                <a:defRPr/>
              </a:pPr>
              <a:t>6</a:t>
            </a:fld>
            <a:endParaRPr lang="fr-CA" sz="8800" b="0" i="0" u="none" strike="noStrike" noProof="0">
              <a:solidFill>
                <a:srgbClr val="000000"/>
              </a:solidFill>
              <a:latin typeface="Calibri"/>
              <a:ea typeface="+mn-ea"/>
              <a:cs typeface="Calibri"/>
            </a:endParaRPr>
          </a:p>
        </xdr:txBody>
      </xdr:sp>
      <xdr:sp macro="" textlink="">
        <xdr:nvSpPr>
          <xdr:cNvPr id="34" name="ZoneTexte 79">
            <a:extLst>
              <a:ext uri="{FF2B5EF4-FFF2-40B4-BE49-F238E27FC236}">
                <a16:creationId xmlns:a16="http://schemas.microsoft.com/office/drawing/2014/main" id="{9F4BFE07-A6D1-7A62-D265-2585876A65AD}"/>
              </a:ext>
            </a:extLst>
          </xdr:cNvPr>
          <xdr:cNvSpPr txBox="1"/>
        </xdr:nvSpPr>
        <xdr:spPr>
          <a:xfrm>
            <a:off x="576042" y="2609850"/>
            <a:ext cx="2249888" cy="1673639"/>
          </a:xfrm>
          <a:prstGeom prst="rect">
            <a:avLst/>
          </a:prstGeom>
          <a:noFill/>
          <a:ln w="9525" cmpd="sng">
            <a:no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fr-FR" sz="1100" b="0" i="0" u="none" strike="noStrike" kern="0" cap="none" spc="0" normalizeH="0" baseline="0" noProof="0">
                <a:ln>
                  <a:noFill/>
                </a:ln>
                <a:solidFill>
                  <a:sysClr val="windowText" lastClr="000000"/>
                </a:solidFill>
                <a:effectLst/>
                <a:uLnTx/>
                <a:uFillTx/>
                <a:latin typeface="Calibri" panose="020F0502020204030204"/>
                <a:ea typeface="+mn-ea"/>
                <a:cs typeface="+mn-cs"/>
              </a:rPr>
              <a:t>All active users that are using one CyberArk license seat. These users are of type EPVUser, AIMAccount or other type than booking.</a:t>
            </a:r>
          </a:p>
          <a:p>
            <a:pPr marL="0" marR="0" lvl="0" indent="0" defTabSz="914400" eaLnBrk="1" fontAlgn="auto" latinLnBrk="0" hangingPunct="1">
              <a:lnSpc>
                <a:spcPct val="100000"/>
              </a:lnSpc>
              <a:spcBef>
                <a:spcPts val="0"/>
              </a:spcBef>
              <a:spcAft>
                <a:spcPts val="0"/>
              </a:spcAft>
              <a:buClrTx/>
              <a:buSzTx/>
              <a:buFontTx/>
              <a:buNone/>
              <a:tabLst/>
              <a:defRPr/>
            </a:pPr>
            <a:endParaRPr kumimoji="0" lang="fr-FR"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xdr:txBody>
      </xdr:sp>
    </xdr:grpSp>
    <xdr:clientData/>
  </xdr:twoCellAnchor>
  <xdr:twoCellAnchor>
    <xdr:from>
      <xdr:col>0</xdr:col>
      <xdr:colOff>245745</xdr:colOff>
      <xdr:row>34</xdr:row>
      <xdr:rowOff>53340</xdr:rowOff>
    </xdr:from>
    <xdr:to>
      <xdr:col>4</xdr:col>
      <xdr:colOff>402210</xdr:colOff>
      <xdr:row>52</xdr:row>
      <xdr:rowOff>129540</xdr:rowOff>
    </xdr:to>
    <xdr:grpSp>
      <xdr:nvGrpSpPr>
        <xdr:cNvPr id="35" name="Groupe 105">
          <a:extLst>
            <a:ext uri="{FF2B5EF4-FFF2-40B4-BE49-F238E27FC236}">
              <a16:creationId xmlns:a16="http://schemas.microsoft.com/office/drawing/2014/main" id="{397F1F3C-F81A-4691-81A3-F2023BDF6297}"/>
            </a:ext>
          </a:extLst>
        </xdr:cNvPr>
        <xdr:cNvGrpSpPr/>
      </xdr:nvGrpSpPr>
      <xdr:grpSpPr>
        <a:xfrm>
          <a:off x="245745" y="7406640"/>
          <a:ext cx="2756790" cy="3505200"/>
          <a:chOff x="433167" y="1600200"/>
          <a:chExt cx="2852958" cy="3236696"/>
        </a:xfrm>
      </xdr:grpSpPr>
      <xdr:grpSp>
        <xdr:nvGrpSpPr>
          <xdr:cNvPr id="36" name="Groupe 106">
            <a:extLst>
              <a:ext uri="{FF2B5EF4-FFF2-40B4-BE49-F238E27FC236}">
                <a16:creationId xmlns:a16="http://schemas.microsoft.com/office/drawing/2014/main" id="{BA9F14B3-A3F8-6A3D-7A94-B7DAA671E405}"/>
              </a:ext>
            </a:extLst>
          </xdr:cNvPr>
          <xdr:cNvGrpSpPr/>
        </xdr:nvGrpSpPr>
        <xdr:grpSpPr>
          <a:xfrm>
            <a:off x="433167" y="1600200"/>
            <a:ext cx="2852958" cy="2486025"/>
            <a:chOff x="433167" y="1600200"/>
            <a:chExt cx="2852958" cy="2486025"/>
          </a:xfrm>
        </xdr:grpSpPr>
        <xdr:graphicFrame macro="">
          <xdr:nvGraphicFramePr>
            <xdr:cNvPr id="38" name="Graphique 108">
              <a:extLst>
                <a:ext uri="{FF2B5EF4-FFF2-40B4-BE49-F238E27FC236}">
                  <a16:creationId xmlns:a16="http://schemas.microsoft.com/office/drawing/2014/main" id="{19DC72B7-B604-B9B0-1DFA-551B39A48949}"/>
                </a:ext>
              </a:extLst>
            </xdr:cNvPr>
            <xdr:cNvGraphicFramePr/>
          </xdr:nvGraphicFramePr>
          <xdr:xfrm>
            <a:off x="628650" y="1771650"/>
            <a:ext cx="2495402" cy="2314575"/>
          </xdr:xfrm>
          <a:graphic>
            <a:graphicData uri="http://schemas.openxmlformats.org/drawingml/2006/chart">
              <c:chart xmlns:c="http://schemas.openxmlformats.org/drawingml/2006/chart" xmlns:r="http://schemas.openxmlformats.org/officeDocument/2006/relationships" r:id="rId5"/>
            </a:graphicData>
          </a:graphic>
        </xdr:graphicFrame>
        <xdr:sp macro="" textlink="data!D9">
          <xdr:nvSpPr>
            <xdr:cNvPr id="39" name="CaixaDeTexto 4">
              <a:extLst>
                <a:ext uri="{FF2B5EF4-FFF2-40B4-BE49-F238E27FC236}">
                  <a16:creationId xmlns:a16="http://schemas.microsoft.com/office/drawing/2014/main" id="{04563D8A-D5ED-CAB0-2D5E-8C2A0478E2B6}"/>
                </a:ext>
              </a:extLst>
            </xdr:cNvPr>
            <xdr:cNvSpPr txBox="1"/>
          </xdr:nvSpPr>
          <xdr:spPr>
            <a:xfrm>
              <a:off x="978248" y="2643634"/>
              <a:ext cx="1792189" cy="5534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CEC21BDC-0E83-495A-A636-CB0300694843}" type="TxLink">
                <a:rPr lang="en-US" sz="3600" b="0" i="0" u="none" strike="noStrike">
                  <a:solidFill>
                    <a:srgbClr val="000000"/>
                  </a:solidFill>
                  <a:latin typeface="Calibri"/>
                  <a:cs typeface="Calibri"/>
                </a:rPr>
                <a:pPr algn="ctr"/>
                <a:t>19</a:t>
              </a:fld>
              <a:endParaRPr lang="fr-CA" sz="3600" b="0"/>
            </a:p>
          </xdr:txBody>
        </xdr:sp>
        <xdr:sp macro="" textlink="">
          <xdr:nvSpPr>
            <xdr:cNvPr id="40" name="ZoneTexte 110">
              <a:hlinkClick xmlns:r="http://schemas.openxmlformats.org/officeDocument/2006/relationships" r:id="rId3" tooltip="Show details"/>
              <a:extLst>
                <a:ext uri="{FF2B5EF4-FFF2-40B4-BE49-F238E27FC236}">
                  <a16:creationId xmlns:a16="http://schemas.microsoft.com/office/drawing/2014/main" id="{0BEAE6AC-3754-F361-A8B3-E56EBF2DEE0E}"/>
                </a:ext>
              </a:extLst>
            </xdr:cNvPr>
            <xdr:cNvSpPr txBox="1"/>
          </xdr:nvSpPr>
          <xdr:spPr>
            <a:xfrm>
              <a:off x="433167" y="1600200"/>
              <a:ext cx="2852958" cy="3092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fr-FR" sz="1400"/>
                <a:t>New Booking</a:t>
              </a:r>
              <a:r>
                <a:rPr lang="fr-FR" sz="1400" baseline="0"/>
                <a:t> Users</a:t>
              </a:r>
              <a:endParaRPr lang="fr-FR" sz="1400"/>
            </a:p>
          </xdr:txBody>
        </xdr:sp>
      </xdr:grpSp>
      <xdr:sp macro="" textlink="">
        <xdr:nvSpPr>
          <xdr:cNvPr id="37" name="ZoneTexte 107">
            <a:extLst>
              <a:ext uri="{FF2B5EF4-FFF2-40B4-BE49-F238E27FC236}">
                <a16:creationId xmlns:a16="http://schemas.microsoft.com/office/drawing/2014/main" id="{72194893-D9C2-96E9-718B-000FD504D065}"/>
              </a:ext>
            </a:extLst>
          </xdr:cNvPr>
          <xdr:cNvSpPr txBox="1"/>
        </xdr:nvSpPr>
        <xdr:spPr>
          <a:xfrm>
            <a:off x="762000" y="3943350"/>
            <a:ext cx="2257425" cy="8935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baseline="0"/>
              <a:t>New </a:t>
            </a:r>
            <a:r>
              <a:rPr lang="fr-FR" sz="1100" baseline="0">
                <a:solidFill>
                  <a:schemeClr val="dk1"/>
                </a:solidFill>
                <a:effectLst/>
                <a:latin typeface="+mn-lt"/>
                <a:ea typeface="+mn-ea"/>
                <a:cs typeface="+mn-cs"/>
              </a:rPr>
              <a:t>booking</a:t>
            </a:r>
            <a:r>
              <a:rPr lang="fr-FR" sz="1100" baseline="0"/>
              <a:t> users since the last PAM Booster analysis with regard to the total of booking users</a:t>
            </a:r>
            <a:r>
              <a:rPr lang="fr-FR" sz="1100"/>
              <a:t>.</a:t>
            </a:r>
          </a:p>
        </xdr:txBody>
      </xdr:sp>
    </xdr:grpSp>
    <xdr:clientData/>
  </xdr:twoCellAnchor>
  <xdr:twoCellAnchor>
    <xdr:from>
      <xdr:col>8</xdr:col>
      <xdr:colOff>432493</xdr:colOff>
      <xdr:row>34</xdr:row>
      <xdr:rowOff>53340</xdr:rowOff>
    </xdr:from>
    <xdr:to>
      <xdr:col>12</xdr:col>
      <xdr:colOff>21180</xdr:colOff>
      <xdr:row>52</xdr:row>
      <xdr:rowOff>68581</xdr:rowOff>
    </xdr:to>
    <xdr:grpSp>
      <xdr:nvGrpSpPr>
        <xdr:cNvPr id="41" name="Groupe 105">
          <a:extLst>
            <a:ext uri="{FF2B5EF4-FFF2-40B4-BE49-F238E27FC236}">
              <a16:creationId xmlns:a16="http://schemas.microsoft.com/office/drawing/2014/main" id="{9388C0F7-FC8F-4635-85DD-5C25E4F2188D}"/>
            </a:ext>
          </a:extLst>
        </xdr:cNvPr>
        <xdr:cNvGrpSpPr/>
      </xdr:nvGrpSpPr>
      <xdr:grpSpPr>
        <a:xfrm>
          <a:off x="6157018" y="7406640"/>
          <a:ext cx="2712887" cy="3444241"/>
          <a:chOff x="433167" y="1600200"/>
          <a:chExt cx="2852958" cy="3170754"/>
        </a:xfrm>
      </xdr:grpSpPr>
      <xdr:grpSp>
        <xdr:nvGrpSpPr>
          <xdr:cNvPr id="42" name="Groupe 106">
            <a:extLst>
              <a:ext uri="{FF2B5EF4-FFF2-40B4-BE49-F238E27FC236}">
                <a16:creationId xmlns:a16="http://schemas.microsoft.com/office/drawing/2014/main" id="{8BF4EC9F-4E7E-DE6B-47DB-F1683B5EC258}"/>
              </a:ext>
            </a:extLst>
          </xdr:cNvPr>
          <xdr:cNvGrpSpPr/>
        </xdr:nvGrpSpPr>
        <xdr:grpSpPr>
          <a:xfrm>
            <a:off x="433167" y="1600200"/>
            <a:ext cx="2852958" cy="2486025"/>
            <a:chOff x="433167" y="1600200"/>
            <a:chExt cx="2852958" cy="2486025"/>
          </a:xfrm>
        </xdr:grpSpPr>
        <xdr:graphicFrame macro="">
          <xdr:nvGraphicFramePr>
            <xdr:cNvPr id="44" name="Graphique 108">
              <a:extLst>
                <a:ext uri="{FF2B5EF4-FFF2-40B4-BE49-F238E27FC236}">
                  <a16:creationId xmlns:a16="http://schemas.microsoft.com/office/drawing/2014/main" id="{7ADE3C54-AB8E-4690-CEFF-D60048E9660A}"/>
                </a:ext>
              </a:extLst>
            </xdr:cNvPr>
            <xdr:cNvGraphicFramePr/>
          </xdr:nvGraphicFramePr>
          <xdr:xfrm>
            <a:off x="628650" y="1771650"/>
            <a:ext cx="2495402" cy="2314575"/>
          </xdr:xfrm>
          <a:graphic>
            <a:graphicData uri="http://schemas.openxmlformats.org/drawingml/2006/chart">
              <c:chart xmlns:c="http://schemas.openxmlformats.org/drawingml/2006/chart" xmlns:r="http://schemas.openxmlformats.org/officeDocument/2006/relationships" r:id="rId6"/>
            </a:graphicData>
          </a:graphic>
        </xdr:graphicFrame>
        <xdr:sp macro="" textlink="data!D12">
          <xdr:nvSpPr>
            <xdr:cNvPr id="45" name="CaixaDeTexto 4">
              <a:extLst>
                <a:ext uri="{FF2B5EF4-FFF2-40B4-BE49-F238E27FC236}">
                  <a16:creationId xmlns:a16="http://schemas.microsoft.com/office/drawing/2014/main" id="{AC7D4E88-91CE-A3C5-9B25-06229A30DF96}"/>
                </a:ext>
              </a:extLst>
            </xdr:cNvPr>
            <xdr:cNvSpPr txBox="1"/>
          </xdr:nvSpPr>
          <xdr:spPr>
            <a:xfrm>
              <a:off x="978248" y="2643634"/>
              <a:ext cx="1792189" cy="5534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F37D0A2B-FCBF-4CBC-9E78-297F8049145F}" type="TxLink">
                <a:rPr lang="en-US" sz="3600" b="0" i="0" u="none" strike="noStrike">
                  <a:solidFill>
                    <a:srgbClr val="000000"/>
                  </a:solidFill>
                  <a:latin typeface="Calibri"/>
                  <a:cs typeface="Calibri"/>
                </a:rPr>
                <a:pPr algn="ctr"/>
                <a:t>3</a:t>
              </a:fld>
              <a:endParaRPr lang="fr-CA" sz="3600" b="0"/>
            </a:p>
          </xdr:txBody>
        </xdr:sp>
        <xdr:sp macro="" textlink="">
          <xdr:nvSpPr>
            <xdr:cNvPr id="46" name="ZoneTexte 110">
              <a:hlinkClick xmlns:r="http://schemas.openxmlformats.org/officeDocument/2006/relationships" r:id="rId3" tooltip="Show details"/>
              <a:extLst>
                <a:ext uri="{FF2B5EF4-FFF2-40B4-BE49-F238E27FC236}">
                  <a16:creationId xmlns:a16="http://schemas.microsoft.com/office/drawing/2014/main" id="{B6D6393C-A8D0-0BFF-C11F-6DE0966AC9BE}"/>
                </a:ext>
              </a:extLst>
            </xdr:cNvPr>
            <xdr:cNvSpPr txBox="1"/>
          </xdr:nvSpPr>
          <xdr:spPr>
            <a:xfrm>
              <a:off x="433167" y="1600200"/>
              <a:ext cx="2852958" cy="3092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fr-FR" sz="1400"/>
                <a:t>New AIM</a:t>
              </a:r>
              <a:r>
                <a:rPr lang="fr-FR" sz="1400" baseline="0"/>
                <a:t> Users</a:t>
              </a:r>
              <a:endParaRPr lang="fr-FR" sz="1400"/>
            </a:p>
          </xdr:txBody>
        </xdr:sp>
      </xdr:grpSp>
      <xdr:sp macro="" textlink="">
        <xdr:nvSpPr>
          <xdr:cNvPr id="43" name="ZoneTexte 107">
            <a:extLst>
              <a:ext uri="{FF2B5EF4-FFF2-40B4-BE49-F238E27FC236}">
                <a16:creationId xmlns:a16="http://schemas.microsoft.com/office/drawing/2014/main" id="{43416DD9-8129-8ABE-685B-5295BA0EF8B5}"/>
              </a:ext>
            </a:extLst>
          </xdr:cNvPr>
          <xdr:cNvSpPr txBox="1"/>
        </xdr:nvSpPr>
        <xdr:spPr>
          <a:xfrm>
            <a:off x="762000" y="3943351"/>
            <a:ext cx="2257425" cy="8276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t>Effective new AIM</a:t>
            </a:r>
            <a:r>
              <a:rPr lang="fr-FR" sz="1100" baseline="0"/>
              <a:t> users since the last PAM Booster analysis with regard to the total of effective AIM users</a:t>
            </a:r>
            <a:r>
              <a:rPr lang="fr-FR" sz="1100"/>
              <a:t>.</a:t>
            </a:r>
          </a:p>
        </xdr:txBody>
      </xdr:sp>
    </xdr:grpSp>
    <xdr:clientData/>
  </xdr:twoCellAnchor>
  <xdr:twoCellAnchor>
    <xdr:from>
      <xdr:col>12</xdr:col>
      <xdr:colOff>245744</xdr:colOff>
      <xdr:row>34</xdr:row>
      <xdr:rowOff>53340</xdr:rowOff>
    </xdr:from>
    <xdr:to>
      <xdr:col>15</xdr:col>
      <xdr:colOff>634531</xdr:colOff>
      <xdr:row>52</xdr:row>
      <xdr:rowOff>152401</xdr:rowOff>
    </xdr:to>
    <xdr:grpSp>
      <xdr:nvGrpSpPr>
        <xdr:cNvPr id="48" name="Groupe 105">
          <a:extLst>
            <a:ext uri="{FF2B5EF4-FFF2-40B4-BE49-F238E27FC236}">
              <a16:creationId xmlns:a16="http://schemas.microsoft.com/office/drawing/2014/main" id="{51495FD2-E07F-4790-8238-A95F491D2429}"/>
            </a:ext>
          </a:extLst>
        </xdr:cNvPr>
        <xdr:cNvGrpSpPr/>
      </xdr:nvGrpSpPr>
      <xdr:grpSpPr>
        <a:xfrm>
          <a:off x="9094469" y="7406640"/>
          <a:ext cx="2731937" cy="3528061"/>
          <a:chOff x="433167" y="1600200"/>
          <a:chExt cx="2852958" cy="3245106"/>
        </a:xfrm>
      </xdr:grpSpPr>
      <xdr:grpSp>
        <xdr:nvGrpSpPr>
          <xdr:cNvPr id="49" name="Groupe 106">
            <a:extLst>
              <a:ext uri="{FF2B5EF4-FFF2-40B4-BE49-F238E27FC236}">
                <a16:creationId xmlns:a16="http://schemas.microsoft.com/office/drawing/2014/main" id="{8FD1E93F-67F5-998E-466A-03710CE3697B}"/>
              </a:ext>
            </a:extLst>
          </xdr:cNvPr>
          <xdr:cNvGrpSpPr/>
        </xdr:nvGrpSpPr>
        <xdr:grpSpPr>
          <a:xfrm>
            <a:off x="433167" y="1600200"/>
            <a:ext cx="2852958" cy="2486025"/>
            <a:chOff x="433167" y="1600200"/>
            <a:chExt cx="2852958" cy="2486025"/>
          </a:xfrm>
        </xdr:grpSpPr>
        <xdr:graphicFrame macro="">
          <xdr:nvGraphicFramePr>
            <xdr:cNvPr id="51" name="Graphique 108">
              <a:extLst>
                <a:ext uri="{FF2B5EF4-FFF2-40B4-BE49-F238E27FC236}">
                  <a16:creationId xmlns:a16="http://schemas.microsoft.com/office/drawing/2014/main" id="{7BED8285-CB7E-9A2C-FF17-0A694406255A}"/>
                </a:ext>
              </a:extLst>
            </xdr:cNvPr>
            <xdr:cNvGraphicFramePr/>
          </xdr:nvGraphicFramePr>
          <xdr:xfrm>
            <a:off x="628650" y="1771650"/>
            <a:ext cx="2495402" cy="2314575"/>
          </xdr:xfrm>
          <a:graphic>
            <a:graphicData uri="http://schemas.openxmlformats.org/drawingml/2006/chart">
              <c:chart xmlns:c="http://schemas.openxmlformats.org/drawingml/2006/chart" xmlns:r="http://schemas.openxmlformats.org/officeDocument/2006/relationships" r:id="rId7"/>
            </a:graphicData>
          </a:graphic>
        </xdr:graphicFrame>
        <xdr:sp macro="" textlink="data!D13">
          <xdr:nvSpPr>
            <xdr:cNvPr id="52" name="CaixaDeTexto 4">
              <a:extLst>
                <a:ext uri="{FF2B5EF4-FFF2-40B4-BE49-F238E27FC236}">
                  <a16:creationId xmlns:a16="http://schemas.microsoft.com/office/drawing/2014/main" id="{A6080A4D-7139-6D90-6276-2161F84058F9}"/>
                </a:ext>
              </a:extLst>
            </xdr:cNvPr>
            <xdr:cNvSpPr txBox="1"/>
          </xdr:nvSpPr>
          <xdr:spPr>
            <a:xfrm>
              <a:off x="978248" y="2643634"/>
              <a:ext cx="1792189" cy="5534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6FA8480B-8E38-42A9-9EA0-F29A4C3CEAF2}" type="TxLink">
                <a:rPr lang="en-US" sz="3600" b="0" i="0" u="none" strike="noStrike">
                  <a:solidFill>
                    <a:srgbClr val="000000"/>
                  </a:solidFill>
                  <a:latin typeface="Calibri"/>
                  <a:cs typeface="Calibri"/>
                </a:rPr>
                <a:pPr algn="ctr"/>
                <a:t>1</a:t>
              </a:fld>
              <a:endParaRPr lang="fr-CA" sz="3600" b="0"/>
            </a:p>
          </xdr:txBody>
        </xdr:sp>
        <xdr:sp macro="" textlink="">
          <xdr:nvSpPr>
            <xdr:cNvPr id="53" name="ZoneTexte 110">
              <a:hlinkClick xmlns:r="http://schemas.openxmlformats.org/officeDocument/2006/relationships" r:id="rId3" tooltip="Show details"/>
              <a:extLst>
                <a:ext uri="{FF2B5EF4-FFF2-40B4-BE49-F238E27FC236}">
                  <a16:creationId xmlns:a16="http://schemas.microsoft.com/office/drawing/2014/main" id="{EC2F9417-55CA-142B-D8E4-CAE6B6F5298F}"/>
                </a:ext>
              </a:extLst>
            </xdr:cNvPr>
            <xdr:cNvSpPr txBox="1"/>
          </xdr:nvSpPr>
          <xdr:spPr>
            <a:xfrm>
              <a:off x="433167" y="1600200"/>
              <a:ext cx="2852958" cy="3092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fr-FR" sz="1400"/>
                <a:t>New Other Type </a:t>
              </a:r>
              <a:r>
                <a:rPr lang="fr-FR" sz="1400" baseline="0"/>
                <a:t>Users</a:t>
              </a:r>
              <a:endParaRPr lang="fr-FR" sz="1400"/>
            </a:p>
          </xdr:txBody>
        </xdr:sp>
      </xdr:grpSp>
      <xdr:sp macro="" textlink="">
        <xdr:nvSpPr>
          <xdr:cNvPr id="50" name="ZoneTexte 107">
            <a:extLst>
              <a:ext uri="{FF2B5EF4-FFF2-40B4-BE49-F238E27FC236}">
                <a16:creationId xmlns:a16="http://schemas.microsoft.com/office/drawing/2014/main" id="{471C7BF3-39E5-794C-C501-91A0A315E6B5}"/>
              </a:ext>
            </a:extLst>
          </xdr:cNvPr>
          <xdr:cNvSpPr txBox="1"/>
        </xdr:nvSpPr>
        <xdr:spPr>
          <a:xfrm>
            <a:off x="762000" y="3943351"/>
            <a:ext cx="2257425" cy="9019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t>Effective new other type </a:t>
            </a:r>
            <a:r>
              <a:rPr lang="fr-FR" sz="1100" baseline="0"/>
              <a:t>users since the last PAM Booster analysis with regard to the total of effective other type users</a:t>
            </a:r>
            <a:r>
              <a:rPr lang="fr-FR" sz="1100"/>
              <a:t>.</a:t>
            </a:r>
          </a:p>
        </xdr:txBody>
      </xdr:sp>
    </xdr:grpSp>
    <xdr:clientData/>
  </xdr:twoCellAnchor>
  <xdr:twoCellAnchor>
    <xdr:from>
      <xdr:col>4</xdr:col>
      <xdr:colOff>622345</xdr:colOff>
      <xdr:row>19</xdr:row>
      <xdr:rowOff>36195</xdr:rowOff>
    </xdr:from>
    <xdr:to>
      <xdr:col>8</xdr:col>
      <xdr:colOff>174700</xdr:colOff>
      <xdr:row>31</xdr:row>
      <xdr:rowOff>144781</xdr:rowOff>
    </xdr:to>
    <xdr:grpSp>
      <xdr:nvGrpSpPr>
        <xdr:cNvPr id="54" name="Groupe 5">
          <a:extLst>
            <a:ext uri="{FF2B5EF4-FFF2-40B4-BE49-F238E27FC236}">
              <a16:creationId xmlns:a16="http://schemas.microsoft.com/office/drawing/2014/main" id="{DEE4B365-FAA0-4D71-BAC7-C0638C8C8CFD}"/>
            </a:ext>
          </a:extLst>
        </xdr:cNvPr>
        <xdr:cNvGrpSpPr/>
      </xdr:nvGrpSpPr>
      <xdr:grpSpPr>
        <a:xfrm>
          <a:off x="3222670" y="4455795"/>
          <a:ext cx="2676555" cy="2394586"/>
          <a:chOff x="261717" y="1400175"/>
          <a:chExt cx="2843433" cy="2190272"/>
        </a:xfrm>
      </xdr:grpSpPr>
      <xdr:sp macro="" textlink="">
        <xdr:nvSpPr>
          <xdr:cNvPr id="55" name="ZoneTexte 74">
            <a:hlinkClick xmlns:r="http://schemas.openxmlformats.org/officeDocument/2006/relationships" r:id="rId3" tooltip="Show details"/>
            <a:extLst>
              <a:ext uri="{FF2B5EF4-FFF2-40B4-BE49-F238E27FC236}">
                <a16:creationId xmlns:a16="http://schemas.microsoft.com/office/drawing/2014/main" id="{2D43E72A-80A0-D183-291A-49641AFD6EB6}"/>
              </a:ext>
            </a:extLst>
          </xdr:cNvPr>
          <xdr:cNvSpPr txBox="1"/>
        </xdr:nvSpPr>
        <xdr:spPr>
          <a:xfrm>
            <a:off x="261717" y="1400175"/>
            <a:ext cx="2843433" cy="311496"/>
          </a:xfrm>
          <a:prstGeom prst="rect">
            <a:avLst/>
          </a:prstGeom>
          <a:noFill/>
          <a:ln>
            <a:noFill/>
          </a:ln>
          <a:effectLst/>
        </xdr:spPr>
        <xdr:txBody>
          <a:bodyPr vertOverflow="clip" horzOverflow="clip" wrap="square" rtlCol="0" anchor="t">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fr-FR" sz="1400" b="0" i="0" u="none" strike="noStrike" kern="0" cap="none" spc="0" normalizeH="0" baseline="0" noProof="0">
                <a:ln>
                  <a:noFill/>
                </a:ln>
                <a:solidFill>
                  <a:sysClr val="windowText" lastClr="000000"/>
                </a:solidFill>
                <a:effectLst/>
                <a:uLnTx/>
                <a:uFillTx/>
                <a:latin typeface="Calibri" panose="020F0502020204030204"/>
                <a:ea typeface="+mn-ea"/>
                <a:cs typeface="+mn-cs"/>
              </a:rPr>
              <a:t>New Effective Users</a:t>
            </a:r>
          </a:p>
        </xdr:txBody>
      </xdr:sp>
      <xdr:sp macro="" textlink="data!D10">
        <xdr:nvSpPr>
          <xdr:cNvPr id="56" name="CaixaDeTexto 4">
            <a:extLst>
              <a:ext uri="{FF2B5EF4-FFF2-40B4-BE49-F238E27FC236}">
                <a16:creationId xmlns:a16="http://schemas.microsoft.com/office/drawing/2014/main" id="{3179D6D0-E1C8-5A27-ADD3-98B741F1B35E}"/>
              </a:ext>
            </a:extLst>
          </xdr:cNvPr>
          <xdr:cNvSpPr txBox="1"/>
        </xdr:nvSpPr>
        <xdr:spPr>
          <a:xfrm>
            <a:off x="766542" y="1809750"/>
            <a:ext cx="1786206" cy="5788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fld id="{3B7DD26E-49CE-497B-8604-B49B924BBE07}" type="TxLink">
              <a:rPr lang="en-US" sz="3600" b="0" i="0" u="none" strike="noStrike" noProof="0">
                <a:solidFill>
                  <a:srgbClr val="000000"/>
                </a:solidFill>
                <a:latin typeface="Calibri"/>
                <a:ea typeface="+mn-ea"/>
                <a:cs typeface="Calibri"/>
              </a:rPr>
              <a:pPr marL="0" marR="0" lvl="0" indent="0" algn="ctr" defTabSz="914400" eaLnBrk="1" fontAlgn="auto" latinLnBrk="0" hangingPunct="1">
                <a:lnSpc>
                  <a:spcPct val="100000"/>
                </a:lnSpc>
                <a:spcBef>
                  <a:spcPts val="0"/>
                </a:spcBef>
                <a:spcAft>
                  <a:spcPts val="0"/>
                </a:spcAft>
                <a:buClrTx/>
                <a:buSzTx/>
                <a:buFontTx/>
                <a:buNone/>
                <a:tabLst/>
                <a:defRPr/>
              </a:pPr>
              <a:t>4</a:t>
            </a:fld>
            <a:endParaRPr lang="fr-CA" sz="3600" b="0" i="0" u="none" strike="noStrike" noProof="0">
              <a:solidFill>
                <a:srgbClr val="000000"/>
              </a:solidFill>
              <a:latin typeface="Calibri"/>
              <a:ea typeface="+mn-ea"/>
              <a:cs typeface="Calibri"/>
            </a:endParaRPr>
          </a:p>
        </xdr:txBody>
      </xdr:sp>
      <xdr:sp macro="" textlink="">
        <xdr:nvSpPr>
          <xdr:cNvPr id="57" name="ZoneTexte 79">
            <a:extLst>
              <a:ext uri="{FF2B5EF4-FFF2-40B4-BE49-F238E27FC236}">
                <a16:creationId xmlns:a16="http://schemas.microsoft.com/office/drawing/2014/main" id="{E9C45278-5375-D6FC-89FC-05B7AA00305C}"/>
              </a:ext>
            </a:extLst>
          </xdr:cNvPr>
          <xdr:cNvSpPr txBox="1"/>
        </xdr:nvSpPr>
        <xdr:spPr>
          <a:xfrm>
            <a:off x="576042" y="2609851"/>
            <a:ext cx="2249888" cy="980596"/>
          </a:xfrm>
          <a:prstGeom prst="rect">
            <a:avLst/>
          </a:prstGeom>
          <a:noFill/>
          <a:ln w="9525" cmpd="sng">
            <a:no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fr-FR" sz="1100" b="0" i="0" u="none" strike="noStrike" kern="0" cap="none" spc="0" normalizeH="0" baseline="0" noProof="0">
                <a:ln>
                  <a:noFill/>
                </a:ln>
                <a:solidFill>
                  <a:sysClr val="windowText" lastClr="000000"/>
                </a:solidFill>
                <a:effectLst/>
                <a:uLnTx/>
                <a:uFillTx/>
                <a:latin typeface="Calibri" panose="020F0502020204030204"/>
                <a:ea typeface="+mn-ea"/>
                <a:cs typeface="+mn-cs"/>
              </a:rPr>
              <a:t>Number of new users that are using one CyberArk license seat </a:t>
            </a:r>
            <a:r>
              <a:rPr lang="fr-FR" sz="1100" baseline="0">
                <a:effectLst/>
                <a:latin typeface="+mn-lt"/>
                <a:ea typeface="+mn-ea"/>
                <a:cs typeface="+mn-cs"/>
              </a:rPr>
              <a:t>since the last PAM Booster analysis</a:t>
            </a:r>
            <a:r>
              <a:rPr kumimoji="0" lang="fr-FR" sz="1100" b="0" i="0" u="none" strike="noStrike" kern="0" cap="none" spc="0" normalizeH="0" baseline="0" noProof="0">
                <a:ln>
                  <a:noFill/>
                </a:ln>
                <a:solidFill>
                  <a:sysClr val="windowText" lastClr="000000"/>
                </a:solidFill>
                <a:effectLst/>
                <a:uLnTx/>
                <a:uFillTx/>
                <a:latin typeface="Calibri" panose="020F0502020204030204"/>
                <a:ea typeface="+mn-ea"/>
                <a:cs typeface="+mn-cs"/>
              </a:rPr>
              <a:t>.</a:t>
            </a:r>
          </a:p>
        </xdr:txBody>
      </xdr:sp>
    </xdr:grpSp>
    <xdr:clientData/>
  </xdr:twoCellAnchor>
  <xdr:twoCellAnchor>
    <xdr:from>
      <xdr:col>8</xdr:col>
      <xdr:colOff>457925</xdr:colOff>
      <xdr:row>19</xdr:row>
      <xdr:rowOff>36195</xdr:rowOff>
    </xdr:from>
    <xdr:to>
      <xdr:col>12</xdr:col>
      <xdr:colOff>755</xdr:colOff>
      <xdr:row>31</xdr:row>
      <xdr:rowOff>167640</xdr:rowOff>
    </xdr:to>
    <xdr:grpSp>
      <xdr:nvGrpSpPr>
        <xdr:cNvPr id="58" name="Groupe 5">
          <a:extLst>
            <a:ext uri="{FF2B5EF4-FFF2-40B4-BE49-F238E27FC236}">
              <a16:creationId xmlns:a16="http://schemas.microsoft.com/office/drawing/2014/main" id="{8F85C73C-D17C-4CA1-9213-54D0D8228C19}"/>
            </a:ext>
          </a:extLst>
        </xdr:cNvPr>
        <xdr:cNvGrpSpPr/>
      </xdr:nvGrpSpPr>
      <xdr:grpSpPr>
        <a:xfrm>
          <a:off x="6182450" y="4455795"/>
          <a:ext cx="2667030" cy="2417445"/>
          <a:chOff x="261717" y="1400175"/>
          <a:chExt cx="2843433" cy="2210621"/>
        </a:xfrm>
      </xdr:grpSpPr>
      <xdr:sp macro="" textlink="">
        <xdr:nvSpPr>
          <xdr:cNvPr id="59" name="ZoneTexte 74">
            <a:hlinkClick xmlns:r="http://schemas.openxmlformats.org/officeDocument/2006/relationships" r:id="rId3" tooltip="Show details"/>
            <a:extLst>
              <a:ext uri="{FF2B5EF4-FFF2-40B4-BE49-F238E27FC236}">
                <a16:creationId xmlns:a16="http://schemas.microsoft.com/office/drawing/2014/main" id="{53F5AEA4-7D74-8F80-FF9B-92F4E7A4E2CD}"/>
              </a:ext>
            </a:extLst>
          </xdr:cNvPr>
          <xdr:cNvSpPr txBox="1"/>
        </xdr:nvSpPr>
        <xdr:spPr>
          <a:xfrm>
            <a:off x="261717" y="1400175"/>
            <a:ext cx="2843433" cy="311496"/>
          </a:xfrm>
          <a:prstGeom prst="rect">
            <a:avLst/>
          </a:prstGeom>
          <a:noFill/>
          <a:ln>
            <a:noFill/>
          </a:ln>
          <a:effectLst/>
        </xdr:spPr>
        <xdr:txBody>
          <a:bodyPr vertOverflow="clip" horzOverflow="clip" wrap="square" rtlCol="0" anchor="t">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fr-FR" sz="1400" b="0" i="0" u="none" strike="noStrike" kern="0" cap="none" spc="0" normalizeH="0" baseline="0" noProof="0">
                <a:ln>
                  <a:noFill/>
                </a:ln>
                <a:solidFill>
                  <a:sysClr val="windowText" lastClr="000000"/>
                </a:solidFill>
                <a:effectLst/>
                <a:uLnTx/>
                <a:uFillTx/>
                <a:latin typeface="Calibri" panose="020F0502020204030204"/>
                <a:ea typeface="+mn-ea"/>
                <a:cs typeface="+mn-cs"/>
              </a:rPr>
              <a:t>Modified Effective Users</a:t>
            </a:r>
          </a:p>
        </xdr:txBody>
      </xdr:sp>
      <xdr:sp macro="" textlink="data!F10">
        <xdr:nvSpPr>
          <xdr:cNvPr id="60" name="CaixaDeTexto 4">
            <a:extLst>
              <a:ext uri="{FF2B5EF4-FFF2-40B4-BE49-F238E27FC236}">
                <a16:creationId xmlns:a16="http://schemas.microsoft.com/office/drawing/2014/main" id="{82EAAC0D-B7BE-33B2-330E-9E7C23958034}"/>
              </a:ext>
            </a:extLst>
          </xdr:cNvPr>
          <xdr:cNvSpPr txBox="1"/>
        </xdr:nvSpPr>
        <xdr:spPr>
          <a:xfrm>
            <a:off x="766542" y="1809750"/>
            <a:ext cx="1786206" cy="5788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fld id="{5DA285F7-F0BC-427D-9D82-7D1769335CD6}" type="TxLink">
              <a:rPr lang="en-US" sz="3600" b="0" i="0" u="none" strike="noStrike" noProof="0">
                <a:solidFill>
                  <a:srgbClr val="000000"/>
                </a:solidFill>
                <a:latin typeface="Calibri"/>
                <a:ea typeface="+mn-ea"/>
                <a:cs typeface="Calibri"/>
              </a:rPr>
              <a:pPr marL="0" marR="0" lvl="0" indent="0" algn="ctr" defTabSz="914400" eaLnBrk="1" fontAlgn="auto" latinLnBrk="0" hangingPunct="1">
                <a:lnSpc>
                  <a:spcPct val="100000"/>
                </a:lnSpc>
                <a:spcBef>
                  <a:spcPts val="0"/>
                </a:spcBef>
                <a:spcAft>
                  <a:spcPts val="0"/>
                </a:spcAft>
                <a:buClrTx/>
                <a:buSzTx/>
                <a:buFontTx/>
                <a:buNone/>
                <a:tabLst/>
                <a:defRPr/>
              </a:pPr>
              <a:t>2</a:t>
            </a:fld>
            <a:endParaRPr lang="fr-CA" sz="3600" b="0" i="0" u="none" strike="noStrike" noProof="0">
              <a:solidFill>
                <a:srgbClr val="000000"/>
              </a:solidFill>
              <a:latin typeface="Calibri"/>
              <a:ea typeface="+mn-ea"/>
              <a:cs typeface="Calibri"/>
            </a:endParaRPr>
          </a:p>
        </xdr:txBody>
      </xdr:sp>
      <xdr:sp macro="" textlink="">
        <xdr:nvSpPr>
          <xdr:cNvPr id="61" name="ZoneTexte 79">
            <a:extLst>
              <a:ext uri="{FF2B5EF4-FFF2-40B4-BE49-F238E27FC236}">
                <a16:creationId xmlns:a16="http://schemas.microsoft.com/office/drawing/2014/main" id="{175BBB93-CE78-FE82-65C4-7CE8CD7759F1}"/>
              </a:ext>
            </a:extLst>
          </xdr:cNvPr>
          <xdr:cNvSpPr txBox="1"/>
        </xdr:nvSpPr>
        <xdr:spPr>
          <a:xfrm>
            <a:off x="576042" y="2609850"/>
            <a:ext cx="2249888" cy="1000946"/>
          </a:xfrm>
          <a:prstGeom prst="rect">
            <a:avLst/>
          </a:prstGeom>
          <a:noFill/>
          <a:ln w="9525" cmpd="sng">
            <a:no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fr-FR" sz="1100" b="0" i="0" u="none" strike="noStrike" kern="0" cap="none" spc="0" normalizeH="0" baseline="0" noProof="0">
                <a:ln>
                  <a:noFill/>
                </a:ln>
                <a:solidFill>
                  <a:sysClr val="windowText" lastClr="000000"/>
                </a:solidFill>
                <a:effectLst/>
                <a:uLnTx/>
                <a:uFillTx/>
                <a:latin typeface="Calibri" panose="020F0502020204030204"/>
                <a:ea typeface="+mn-ea"/>
                <a:cs typeface="+mn-cs"/>
              </a:rPr>
              <a:t>Number of users that are using one CyberArk license seat and for which access to safes has been modified.</a:t>
            </a:r>
          </a:p>
        </xdr:txBody>
      </xdr:sp>
    </xdr:grpSp>
    <xdr:clientData/>
  </xdr:twoCellAnchor>
  <xdr:twoCellAnchor>
    <xdr:from>
      <xdr:col>12</xdr:col>
      <xdr:colOff>287791</xdr:colOff>
      <xdr:row>19</xdr:row>
      <xdr:rowOff>36195</xdr:rowOff>
    </xdr:from>
    <xdr:to>
      <xdr:col>15</xdr:col>
      <xdr:colOff>636436</xdr:colOff>
      <xdr:row>31</xdr:row>
      <xdr:rowOff>160020</xdr:rowOff>
    </xdr:to>
    <xdr:grpSp>
      <xdr:nvGrpSpPr>
        <xdr:cNvPr id="62" name="Groupe 5">
          <a:extLst>
            <a:ext uri="{FF2B5EF4-FFF2-40B4-BE49-F238E27FC236}">
              <a16:creationId xmlns:a16="http://schemas.microsoft.com/office/drawing/2014/main" id="{834822B6-D49F-43D1-9E19-D441BEA7E696}"/>
            </a:ext>
          </a:extLst>
        </xdr:cNvPr>
        <xdr:cNvGrpSpPr/>
      </xdr:nvGrpSpPr>
      <xdr:grpSpPr>
        <a:xfrm>
          <a:off x="9136516" y="4455795"/>
          <a:ext cx="2691795" cy="2409825"/>
          <a:chOff x="261717" y="1400175"/>
          <a:chExt cx="2843433" cy="2211712"/>
        </a:xfrm>
      </xdr:grpSpPr>
      <xdr:sp macro="" textlink="">
        <xdr:nvSpPr>
          <xdr:cNvPr id="63" name="ZoneTexte 74">
            <a:hlinkClick xmlns:r="http://schemas.openxmlformats.org/officeDocument/2006/relationships" r:id="rId3" tooltip="Show details"/>
            <a:extLst>
              <a:ext uri="{FF2B5EF4-FFF2-40B4-BE49-F238E27FC236}">
                <a16:creationId xmlns:a16="http://schemas.microsoft.com/office/drawing/2014/main" id="{4B156AB5-51A1-4FFB-9133-2AE463242F49}"/>
              </a:ext>
            </a:extLst>
          </xdr:cNvPr>
          <xdr:cNvSpPr txBox="1"/>
        </xdr:nvSpPr>
        <xdr:spPr>
          <a:xfrm>
            <a:off x="261717" y="1400175"/>
            <a:ext cx="2843433" cy="311496"/>
          </a:xfrm>
          <a:prstGeom prst="rect">
            <a:avLst/>
          </a:prstGeom>
          <a:noFill/>
          <a:ln>
            <a:noFill/>
          </a:ln>
          <a:effectLst/>
        </xdr:spPr>
        <xdr:txBody>
          <a:bodyPr vertOverflow="clip" horzOverflow="clip" wrap="square" rtlCol="0" anchor="t">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fr-FR" sz="1400" b="0" i="0" u="none" strike="noStrike" kern="0" cap="none" spc="0" normalizeH="0" baseline="0" noProof="0">
                <a:ln>
                  <a:noFill/>
                </a:ln>
                <a:solidFill>
                  <a:sysClr val="windowText" lastClr="000000"/>
                </a:solidFill>
                <a:effectLst/>
                <a:uLnTx/>
                <a:uFillTx/>
                <a:latin typeface="Calibri" panose="020F0502020204030204"/>
                <a:ea typeface="+mn-ea"/>
                <a:cs typeface="+mn-cs"/>
              </a:rPr>
              <a:t>Deleted Effective Users</a:t>
            </a:r>
          </a:p>
        </xdr:txBody>
      </xdr:sp>
      <xdr:sp macro="" textlink="data!H10">
        <xdr:nvSpPr>
          <xdr:cNvPr id="64" name="CaixaDeTexto 4">
            <a:extLst>
              <a:ext uri="{FF2B5EF4-FFF2-40B4-BE49-F238E27FC236}">
                <a16:creationId xmlns:a16="http://schemas.microsoft.com/office/drawing/2014/main" id="{6F7287B9-6CDB-304B-D507-62594B5DFD51}"/>
              </a:ext>
            </a:extLst>
          </xdr:cNvPr>
          <xdr:cNvSpPr txBox="1"/>
        </xdr:nvSpPr>
        <xdr:spPr>
          <a:xfrm>
            <a:off x="766542" y="1809750"/>
            <a:ext cx="1786206" cy="5788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fld id="{8779E750-6430-4C72-B1EC-9663740A3116}" type="TxLink">
              <a:rPr lang="en-US" sz="3600" b="0" i="0" u="none" strike="noStrike" noProof="0">
                <a:solidFill>
                  <a:srgbClr val="000000"/>
                </a:solidFill>
                <a:latin typeface="Calibri"/>
                <a:ea typeface="+mn-ea"/>
                <a:cs typeface="Calibri"/>
              </a:rPr>
              <a:pPr marL="0" marR="0" lvl="0" indent="0" algn="ctr" defTabSz="914400" eaLnBrk="1" fontAlgn="auto" latinLnBrk="0" hangingPunct="1">
                <a:lnSpc>
                  <a:spcPct val="100000"/>
                </a:lnSpc>
                <a:spcBef>
                  <a:spcPts val="0"/>
                </a:spcBef>
                <a:spcAft>
                  <a:spcPts val="0"/>
                </a:spcAft>
                <a:buClrTx/>
                <a:buSzTx/>
                <a:buFontTx/>
                <a:buNone/>
                <a:tabLst/>
                <a:defRPr/>
              </a:pPr>
              <a:t>0</a:t>
            </a:fld>
            <a:endParaRPr lang="fr-CA" sz="8800" b="0" i="0" u="none" strike="noStrike" noProof="0">
              <a:solidFill>
                <a:srgbClr val="000000"/>
              </a:solidFill>
              <a:latin typeface="Calibri"/>
              <a:ea typeface="+mn-ea"/>
              <a:cs typeface="Calibri"/>
            </a:endParaRPr>
          </a:p>
        </xdr:txBody>
      </xdr:sp>
      <xdr:sp macro="" textlink="">
        <xdr:nvSpPr>
          <xdr:cNvPr id="65" name="ZoneTexte 79">
            <a:extLst>
              <a:ext uri="{FF2B5EF4-FFF2-40B4-BE49-F238E27FC236}">
                <a16:creationId xmlns:a16="http://schemas.microsoft.com/office/drawing/2014/main" id="{D3721256-96AC-5B4E-5DFE-8E12B39D2D12}"/>
              </a:ext>
            </a:extLst>
          </xdr:cNvPr>
          <xdr:cNvSpPr txBox="1"/>
        </xdr:nvSpPr>
        <xdr:spPr>
          <a:xfrm>
            <a:off x="576042" y="2609850"/>
            <a:ext cx="2249888" cy="1002037"/>
          </a:xfrm>
          <a:prstGeom prst="rect">
            <a:avLst/>
          </a:prstGeom>
          <a:noFill/>
          <a:ln w="9525" cmpd="sng">
            <a:no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fr-FR" sz="1100" b="0" i="0" u="none" strike="noStrike" kern="0" cap="none" spc="0" normalizeH="0" baseline="0" noProof="0">
                <a:ln>
                  <a:noFill/>
                </a:ln>
                <a:solidFill>
                  <a:sysClr val="windowText" lastClr="000000"/>
                </a:solidFill>
                <a:effectLst/>
                <a:uLnTx/>
                <a:uFillTx/>
                <a:latin typeface="Calibri" panose="020F0502020204030204"/>
                <a:ea typeface="+mn-ea"/>
                <a:cs typeface="+mn-cs"/>
              </a:rPr>
              <a:t>Number of deleted users that were using one CyberArk license seat.</a:t>
            </a:r>
          </a:p>
        </xdr:txBody>
      </xdr:sp>
    </xdr:grpSp>
    <xdr:clientData/>
  </xdr:twoCellAnchor>
  <xdr:twoCellAnchor>
    <xdr:from>
      <xdr:col>0</xdr:col>
      <xdr:colOff>249555</xdr:colOff>
      <xdr:row>19</xdr:row>
      <xdr:rowOff>36195</xdr:rowOff>
    </xdr:from>
    <xdr:to>
      <xdr:col>4</xdr:col>
      <xdr:colOff>339120</xdr:colOff>
      <xdr:row>31</xdr:row>
      <xdr:rowOff>175261</xdr:rowOff>
    </xdr:to>
    <xdr:grpSp>
      <xdr:nvGrpSpPr>
        <xdr:cNvPr id="66" name="Groupe 5">
          <a:extLst>
            <a:ext uri="{FF2B5EF4-FFF2-40B4-BE49-F238E27FC236}">
              <a16:creationId xmlns:a16="http://schemas.microsoft.com/office/drawing/2014/main" id="{70883F84-58DA-485C-85F6-6A6F5951B698}"/>
            </a:ext>
          </a:extLst>
        </xdr:cNvPr>
        <xdr:cNvGrpSpPr/>
      </xdr:nvGrpSpPr>
      <xdr:grpSpPr>
        <a:xfrm>
          <a:off x="249555" y="4455795"/>
          <a:ext cx="2689890" cy="2425066"/>
          <a:chOff x="261717" y="1400175"/>
          <a:chExt cx="2843433" cy="2219258"/>
        </a:xfrm>
      </xdr:grpSpPr>
      <xdr:sp macro="" textlink="">
        <xdr:nvSpPr>
          <xdr:cNvPr id="67" name="ZoneTexte 74">
            <a:hlinkClick xmlns:r="http://schemas.openxmlformats.org/officeDocument/2006/relationships" r:id="rId4" tooltip="Show details"/>
            <a:extLst>
              <a:ext uri="{FF2B5EF4-FFF2-40B4-BE49-F238E27FC236}">
                <a16:creationId xmlns:a16="http://schemas.microsoft.com/office/drawing/2014/main" id="{8D5A1C68-C381-FDD3-A3DF-E973A75EADBF}"/>
              </a:ext>
            </a:extLst>
          </xdr:cNvPr>
          <xdr:cNvSpPr txBox="1"/>
        </xdr:nvSpPr>
        <xdr:spPr>
          <a:xfrm>
            <a:off x="261717" y="1400175"/>
            <a:ext cx="2843433" cy="311496"/>
          </a:xfrm>
          <a:prstGeom prst="rect">
            <a:avLst/>
          </a:prstGeom>
          <a:noFill/>
          <a:ln>
            <a:noFill/>
          </a:ln>
          <a:effectLst/>
        </xdr:spPr>
        <xdr:txBody>
          <a:bodyPr vertOverflow="clip" horzOverflow="clip" wrap="square" rtlCol="0" anchor="t">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fr-FR" sz="1400" b="0" i="0" u="none" strike="noStrike" kern="0" cap="none" spc="0" normalizeH="0" baseline="0" noProof="0">
                <a:ln>
                  <a:noFill/>
                </a:ln>
                <a:solidFill>
                  <a:sysClr val="windowText" lastClr="000000"/>
                </a:solidFill>
                <a:effectLst/>
                <a:uLnTx/>
                <a:uFillTx/>
                <a:latin typeface="Calibri" panose="020F0502020204030204"/>
                <a:ea typeface="+mn-ea"/>
                <a:cs typeface="+mn-cs"/>
              </a:rPr>
              <a:t>Booking Users</a:t>
            </a:r>
          </a:p>
        </xdr:txBody>
      </xdr:sp>
      <xdr:sp macro="" textlink="data!B9">
        <xdr:nvSpPr>
          <xdr:cNvPr id="68" name="CaixaDeTexto 4">
            <a:extLst>
              <a:ext uri="{FF2B5EF4-FFF2-40B4-BE49-F238E27FC236}">
                <a16:creationId xmlns:a16="http://schemas.microsoft.com/office/drawing/2014/main" id="{ACE6A0BF-9A88-15D3-B822-C8F2C459F336}"/>
              </a:ext>
            </a:extLst>
          </xdr:cNvPr>
          <xdr:cNvSpPr txBox="1"/>
        </xdr:nvSpPr>
        <xdr:spPr>
          <a:xfrm>
            <a:off x="766542" y="1809750"/>
            <a:ext cx="1786206" cy="5788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fld id="{E9BC6D8C-38CB-43BB-9A70-17631D9E825B}" type="TxLink">
              <a:rPr lang="en-US" sz="3600" b="0" i="0" u="none" strike="noStrike" noProof="0">
                <a:solidFill>
                  <a:srgbClr val="000000"/>
                </a:solidFill>
                <a:latin typeface="Calibri"/>
                <a:ea typeface="+mn-ea"/>
                <a:cs typeface="Calibri"/>
              </a:rPr>
              <a:pPr marL="0" marR="0" lvl="0" indent="0" algn="ctr" defTabSz="914400" eaLnBrk="1" fontAlgn="auto" latinLnBrk="0" hangingPunct="1">
                <a:lnSpc>
                  <a:spcPct val="100000"/>
                </a:lnSpc>
                <a:spcBef>
                  <a:spcPts val="0"/>
                </a:spcBef>
                <a:spcAft>
                  <a:spcPts val="0"/>
                </a:spcAft>
                <a:buClrTx/>
                <a:buSzTx/>
                <a:buFontTx/>
                <a:buNone/>
                <a:tabLst/>
                <a:defRPr/>
              </a:pPr>
              <a:t>31</a:t>
            </a:fld>
            <a:endParaRPr lang="fr-CA" sz="3600" b="0" i="0" u="none" strike="noStrike" noProof="0">
              <a:solidFill>
                <a:srgbClr val="000000"/>
              </a:solidFill>
              <a:latin typeface="Calibri"/>
              <a:ea typeface="+mn-ea"/>
              <a:cs typeface="Calibri"/>
            </a:endParaRPr>
          </a:p>
        </xdr:txBody>
      </xdr:sp>
      <xdr:sp macro="" textlink="">
        <xdr:nvSpPr>
          <xdr:cNvPr id="69" name="ZoneTexte 79">
            <a:extLst>
              <a:ext uri="{FF2B5EF4-FFF2-40B4-BE49-F238E27FC236}">
                <a16:creationId xmlns:a16="http://schemas.microsoft.com/office/drawing/2014/main" id="{84A178F1-421A-129D-03C3-7C6E876AB8BE}"/>
              </a:ext>
            </a:extLst>
          </xdr:cNvPr>
          <xdr:cNvSpPr txBox="1"/>
        </xdr:nvSpPr>
        <xdr:spPr>
          <a:xfrm>
            <a:off x="576042" y="2609851"/>
            <a:ext cx="2249888" cy="1009582"/>
          </a:xfrm>
          <a:prstGeom prst="rect">
            <a:avLst/>
          </a:prstGeom>
          <a:noFill/>
          <a:ln w="9525" cmpd="sng">
            <a:no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fr-FR" sz="1100" b="0" i="0" u="none" strike="noStrike" kern="0" cap="none" spc="0" normalizeH="0" baseline="0" noProof="0">
                <a:ln>
                  <a:noFill/>
                </a:ln>
                <a:solidFill>
                  <a:sysClr val="windowText" lastClr="000000"/>
                </a:solidFill>
                <a:effectLst/>
                <a:uLnTx/>
                <a:uFillTx/>
                <a:latin typeface="Calibri" panose="020F0502020204030204"/>
                <a:ea typeface="+mn-ea"/>
                <a:cs typeface="+mn-cs"/>
              </a:rPr>
              <a:t>All active users that are not using one CyberArk license seat and that have authorization to access to CyberArk through groups and nested groups.</a:t>
            </a:r>
          </a:p>
        </xdr:txBody>
      </xdr:sp>
    </xdr:grpSp>
    <xdr:clientData/>
  </xdr:twoCellAnchor>
  <xdr:twoCellAnchor>
    <xdr:from>
      <xdr:col>0</xdr:col>
      <xdr:colOff>245745</xdr:colOff>
      <xdr:row>55</xdr:row>
      <xdr:rowOff>55245</xdr:rowOff>
    </xdr:from>
    <xdr:to>
      <xdr:col>4</xdr:col>
      <xdr:colOff>373547</xdr:colOff>
      <xdr:row>75</xdr:row>
      <xdr:rowOff>144779</xdr:rowOff>
    </xdr:to>
    <xdr:grpSp>
      <xdr:nvGrpSpPr>
        <xdr:cNvPr id="2" name="Groupe 105">
          <a:extLst>
            <a:ext uri="{FF2B5EF4-FFF2-40B4-BE49-F238E27FC236}">
              <a16:creationId xmlns:a16="http://schemas.microsoft.com/office/drawing/2014/main" id="{DB54DA3F-D85F-43A5-98FE-98D26288027E}"/>
            </a:ext>
          </a:extLst>
        </xdr:cNvPr>
        <xdr:cNvGrpSpPr/>
      </xdr:nvGrpSpPr>
      <xdr:grpSpPr>
        <a:xfrm>
          <a:off x="245745" y="11485245"/>
          <a:ext cx="2728127" cy="3899534"/>
          <a:chOff x="423518" y="1609344"/>
          <a:chExt cx="2862624" cy="3492139"/>
        </a:xfrm>
      </xdr:grpSpPr>
      <xdr:grpSp>
        <xdr:nvGrpSpPr>
          <xdr:cNvPr id="4" name="Groupe 106">
            <a:extLst>
              <a:ext uri="{FF2B5EF4-FFF2-40B4-BE49-F238E27FC236}">
                <a16:creationId xmlns:a16="http://schemas.microsoft.com/office/drawing/2014/main" id="{56FE2899-6D91-097A-60CA-9418E9934B31}"/>
              </a:ext>
            </a:extLst>
          </xdr:cNvPr>
          <xdr:cNvGrpSpPr/>
        </xdr:nvGrpSpPr>
        <xdr:grpSpPr>
          <a:xfrm>
            <a:off x="423518" y="1609344"/>
            <a:ext cx="2862624" cy="2476881"/>
            <a:chOff x="423518" y="1609344"/>
            <a:chExt cx="2862624" cy="2476881"/>
          </a:xfrm>
        </xdr:grpSpPr>
        <xdr:graphicFrame macro="">
          <xdr:nvGraphicFramePr>
            <xdr:cNvPr id="6" name="Graphique 108">
              <a:extLst>
                <a:ext uri="{FF2B5EF4-FFF2-40B4-BE49-F238E27FC236}">
                  <a16:creationId xmlns:a16="http://schemas.microsoft.com/office/drawing/2014/main" id="{07B41BB8-9C41-C976-6163-B5DA81222CBF}"/>
                </a:ext>
              </a:extLst>
            </xdr:cNvPr>
            <xdr:cNvGraphicFramePr/>
          </xdr:nvGraphicFramePr>
          <xdr:xfrm>
            <a:off x="628650" y="1771650"/>
            <a:ext cx="2495402" cy="2314575"/>
          </xdr:xfrm>
          <a:graphic>
            <a:graphicData uri="http://schemas.openxmlformats.org/drawingml/2006/chart">
              <c:chart xmlns:c="http://schemas.openxmlformats.org/drawingml/2006/chart" xmlns:r="http://schemas.openxmlformats.org/officeDocument/2006/relationships" r:id="rId8"/>
            </a:graphicData>
          </a:graphic>
        </xdr:graphicFrame>
        <xdr:sp macro="" textlink="data!D18">
          <xdr:nvSpPr>
            <xdr:cNvPr id="7" name="CaixaDeTexto 4">
              <a:extLst>
                <a:ext uri="{FF2B5EF4-FFF2-40B4-BE49-F238E27FC236}">
                  <a16:creationId xmlns:a16="http://schemas.microsoft.com/office/drawing/2014/main" id="{9EC2302E-1106-545A-456C-D661210C00C6}"/>
                </a:ext>
              </a:extLst>
            </xdr:cNvPr>
            <xdr:cNvSpPr txBox="1"/>
          </xdr:nvSpPr>
          <xdr:spPr>
            <a:xfrm>
              <a:off x="978248" y="2643634"/>
              <a:ext cx="1792189" cy="5534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E6BAE095-7D79-4DE0-BDCD-DA26DE7CB3B3}" type="TxLink">
                <a:rPr lang="en-US" sz="3600" b="0" i="0" u="none" strike="noStrike">
                  <a:solidFill>
                    <a:srgbClr val="000000"/>
                  </a:solidFill>
                  <a:latin typeface="Calibri"/>
                  <a:cs typeface="Calibri"/>
                </a:rPr>
                <a:pPr algn="ctr"/>
                <a:t>4</a:t>
              </a:fld>
              <a:endParaRPr lang="fr-CA" sz="3600" b="0"/>
            </a:p>
          </xdr:txBody>
        </xdr:sp>
        <xdr:sp macro="" textlink="">
          <xdr:nvSpPr>
            <xdr:cNvPr id="12" name="ZoneTexte 110">
              <a:hlinkClick xmlns:r="http://schemas.openxmlformats.org/officeDocument/2006/relationships" r:id="rId9" tooltip="Show details"/>
              <a:extLst>
                <a:ext uri="{FF2B5EF4-FFF2-40B4-BE49-F238E27FC236}">
                  <a16:creationId xmlns:a16="http://schemas.microsoft.com/office/drawing/2014/main" id="{D8811A4E-31FF-0B65-F734-AA25ED4AA8A9}"/>
                </a:ext>
              </a:extLst>
            </xdr:cNvPr>
            <xdr:cNvSpPr txBox="1"/>
          </xdr:nvSpPr>
          <xdr:spPr>
            <a:xfrm>
              <a:off x="423518" y="1609344"/>
              <a:ext cx="2862624" cy="3085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fr-FR" sz="1400"/>
                <a:t>New Groups</a:t>
              </a:r>
            </a:p>
          </xdr:txBody>
        </xdr:sp>
      </xdr:grpSp>
      <xdr:sp macro="" textlink="">
        <xdr:nvSpPr>
          <xdr:cNvPr id="5" name="ZoneTexte 107">
            <a:extLst>
              <a:ext uri="{FF2B5EF4-FFF2-40B4-BE49-F238E27FC236}">
                <a16:creationId xmlns:a16="http://schemas.microsoft.com/office/drawing/2014/main" id="{D1EB65DC-CD26-BA48-4D92-BD85601296C0}"/>
              </a:ext>
            </a:extLst>
          </xdr:cNvPr>
          <xdr:cNvSpPr txBox="1"/>
        </xdr:nvSpPr>
        <xdr:spPr>
          <a:xfrm>
            <a:off x="762000" y="3943350"/>
            <a:ext cx="2257425" cy="11581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t>New groups </a:t>
            </a:r>
            <a:r>
              <a:rPr lang="fr-FR" sz="1100" baseline="0"/>
              <a:t>with regard to the total number of groups </a:t>
            </a:r>
            <a:r>
              <a:rPr lang="fr-FR" sz="1100">
                <a:solidFill>
                  <a:schemeClr val="dk1"/>
                </a:solidFill>
                <a:effectLst/>
                <a:latin typeface="+mn-lt"/>
                <a:ea typeface="+mn-ea"/>
                <a:cs typeface="+mn-cs"/>
              </a:rPr>
              <a:t>providing</a:t>
            </a:r>
            <a:r>
              <a:rPr lang="fr-FR" sz="1100" baseline="0">
                <a:solidFill>
                  <a:schemeClr val="dk1"/>
                </a:solidFill>
                <a:effectLst/>
                <a:latin typeface="+mn-lt"/>
                <a:ea typeface="+mn-ea"/>
                <a:cs typeface="+mn-cs"/>
              </a:rPr>
              <a:t> access to my safes</a:t>
            </a:r>
            <a:r>
              <a:rPr lang="fr-FR" sz="1100"/>
              <a:t>. Members can be either potential users (booking) or effective users (using one CyberArk</a:t>
            </a:r>
            <a:r>
              <a:rPr lang="fr-FR" sz="1100" baseline="0"/>
              <a:t> license seat).</a:t>
            </a:r>
            <a:endParaRPr lang="fr-FR" sz="1100"/>
          </a:p>
        </xdr:txBody>
      </xdr:sp>
    </xdr:grpSp>
    <xdr:clientData/>
  </xdr:twoCellAnchor>
  <xdr:twoCellAnchor>
    <xdr:from>
      <xdr:col>4</xdr:col>
      <xdr:colOff>591820</xdr:colOff>
      <xdr:row>55</xdr:row>
      <xdr:rowOff>55245</xdr:rowOff>
    </xdr:from>
    <xdr:to>
      <xdr:col>8</xdr:col>
      <xdr:colOff>199557</xdr:colOff>
      <xdr:row>75</xdr:row>
      <xdr:rowOff>76201</xdr:rowOff>
    </xdr:to>
    <xdr:grpSp>
      <xdr:nvGrpSpPr>
        <xdr:cNvPr id="23" name="Groupe 105">
          <a:extLst>
            <a:ext uri="{FF2B5EF4-FFF2-40B4-BE49-F238E27FC236}">
              <a16:creationId xmlns:a16="http://schemas.microsoft.com/office/drawing/2014/main" id="{35D180BC-6306-4291-BF41-98EC1F481DFF}"/>
            </a:ext>
          </a:extLst>
        </xdr:cNvPr>
        <xdr:cNvGrpSpPr/>
      </xdr:nvGrpSpPr>
      <xdr:grpSpPr>
        <a:xfrm>
          <a:off x="3192145" y="11485245"/>
          <a:ext cx="2731937" cy="3830956"/>
          <a:chOff x="423518" y="1609344"/>
          <a:chExt cx="2862624" cy="3403652"/>
        </a:xfrm>
      </xdr:grpSpPr>
      <xdr:grpSp>
        <xdr:nvGrpSpPr>
          <xdr:cNvPr id="24" name="Groupe 106">
            <a:extLst>
              <a:ext uri="{FF2B5EF4-FFF2-40B4-BE49-F238E27FC236}">
                <a16:creationId xmlns:a16="http://schemas.microsoft.com/office/drawing/2014/main" id="{B566467E-E8CC-647E-BF08-65480F71D754}"/>
              </a:ext>
            </a:extLst>
          </xdr:cNvPr>
          <xdr:cNvGrpSpPr/>
        </xdr:nvGrpSpPr>
        <xdr:grpSpPr>
          <a:xfrm>
            <a:off x="423518" y="1609344"/>
            <a:ext cx="2862624" cy="2476881"/>
            <a:chOff x="423518" y="1609344"/>
            <a:chExt cx="2862624" cy="2476881"/>
          </a:xfrm>
        </xdr:grpSpPr>
        <xdr:graphicFrame macro="">
          <xdr:nvGraphicFramePr>
            <xdr:cNvPr id="26" name="Graphique 108">
              <a:extLst>
                <a:ext uri="{FF2B5EF4-FFF2-40B4-BE49-F238E27FC236}">
                  <a16:creationId xmlns:a16="http://schemas.microsoft.com/office/drawing/2014/main" id="{C1DCAB70-F9B6-16C8-D83E-BAF9C4AE2D21}"/>
                </a:ext>
              </a:extLst>
            </xdr:cNvPr>
            <xdr:cNvGraphicFramePr/>
          </xdr:nvGraphicFramePr>
          <xdr:xfrm>
            <a:off x="628650" y="1771650"/>
            <a:ext cx="2495402" cy="2314575"/>
          </xdr:xfrm>
          <a:graphic>
            <a:graphicData uri="http://schemas.openxmlformats.org/drawingml/2006/chart">
              <c:chart xmlns:c="http://schemas.openxmlformats.org/drawingml/2006/chart" xmlns:r="http://schemas.openxmlformats.org/officeDocument/2006/relationships" r:id="rId10"/>
            </a:graphicData>
          </a:graphic>
        </xdr:graphicFrame>
        <xdr:sp macro="" textlink="data!D19">
          <xdr:nvSpPr>
            <xdr:cNvPr id="47" name="CaixaDeTexto 4">
              <a:extLst>
                <a:ext uri="{FF2B5EF4-FFF2-40B4-BE49-F238E27FC236}">
                  <a16:creationId xmlns:a16="http://schemas.microsoft.com/office/drawing/2014/main" id="{612E79A5-0FCC-F051-86A3-B7AE2743963D}"/>
                </a:ext>
              </a:extLst>
            </xdr:cNvPr>
            <xdr:cNvSpPr txBox="1"/>
          </xdr:nvSpPr>
          <xdr:spPr>
            <a:xfrm>
              <a:off x="978248" y="2643634"/>
              <a:ext cx="1792189" cy="5534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D6050EAC-F4D4-479E-8DFC-DD6DD648DD57}" type="TxLink">
                <a:rPr lang="en-US" sz="3600" b="0" i="0" u="none" strike="noStrike">
                  <a:solidFill>
                    <a:srgbClr val="C00000"/>
                  </a:solidFill>
                  <a:latin typeface="Calibri"/>
                  <a:cs typeface="Calibri"/>
                </a:rPr>
                <a:pPr algn="ctr"/>
                <a:t>0</a:t>
              </a:fld>
              <a:endParaRPr lang="fr-CA" sz="3600" b="0">
                <a:solidFill>
                  <a:srgbClr val="C00000"/>
                </a:solidFill>
              </a:endParaRPr>
            </a:p>
          </xdr:txBody>
        </xdr:sp>
        <xdr:sp macro="" textlink="">
          <xdr:nvSpPr>
            <xdr:cNvPr id="70" name="ZoneTexte 110">
              <a:hlinkClick xmlns:r="http://schemas.openxmlformats.org/officeDocument/2006/relationships" r:id="rId11" tooltip="Show details"/>
              <a:extLst>
                <a:ext uri="{FF2B5EF4-FFF2-40B4-BE49-F238E27FC236}">
                  <a16:creationId xmlns:a16="http://schemas.microsoft.com/office/drawing/2014/main" id="{260F107F-5242-9D01-F250-142B29A7B6A1}"/>
                </a:ext>
              </a:extLst>
            </xdr:cNvPr>
            <xdr:cNvSpPr txBox="1"/>
          </xdr:nvSpPr>
          <xdr:spPr>
            <a:xfrm>
              <a:off x="423518" y="1609344"/>
              <a:ext cx="2862624" cy="29108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fr-FR" sz="1400"/>
                <a:t>New Groups with Nested Groups</a:t>
              </a:r>
            </a:p>
          </xdr:txBody>
        </xdr:sp>
      </xdr:grpSp>
      <xdr:sp macro="" textlink="">
        <xdr:nvSpPr>
          <xdr:cNvPr id="25" name="ZoneTexte 107">
            <a:extLst>
              <a:ext uri="{FF2B5EF4-FFF2-40B4-BE49-F238E27FC236}">
                <a16:creationId xmlns:a16="http://schemas.microsoft.com/office/drawing/2014/main" id="{AE20C26C-B360-6AF2-D80C-E11F482A3D2A}"/>
              </a:ext>
            </a:extLst>
          </xdr:cNvPr>
          <xdr:cNvSpPr txBox="1"/>
        </xdr:nvSpPr>
        <xdr:spPr>
          <a:xfrm>
            <a:off x="762000" y="3943350"/>
            <a:ext cx="2257425" cy="10696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t>New groups </a:t>
            </a:r>
            <a:r>
              <a:rPr lang="fr-FR" sz="1100" baseline="0"/>
              <a:t>with nested groups with regard to the total number of groups </a:t>
            </a:r>
            <a:r>
              <a:rPr lang="fr-FR" sz="1100">
                <a:solidFill>
                  <a:schemeClr val="dk1"/>
                </a:solidFill>
                <a:effectLst/>
                <a:latin typeface="+mn-lt"/>
                <a:ea typeface="+mn-ea"/>
                <a:cs typeface="+mn-cs"/>
              </a:rPr>
              <a:t>providing</a:t>
            </a:r>
            <a:r>
              <a:rPr lang="fr-FR" sz="1100" baseline="0">
                <a:solidFill>
                  <a:schemeClr val="dk1"/>
                </a:solidFill>
                <a:effectLst/>
                <a:latin typeface="+mn-lt"/>
                <a:ea typeface="+mn-ea"/>
                <a:cs typeface="+mn-cs"/>
              </a:rPr>
              <a:t> access to my safes</a:t>
            </a:r>
            <a:r>
              <a:rPr lang="fr-FR" sz="1100"/>
              <a:t>.</a:t>
            </a:r>
          </a:p>
        </xdr:txBody>
      </xdr:sp>
    </xdr:grpSp>
    <xdr:clientData/>
  </xdr:twoCellAnchor>
  <xdr:twoCellAnchor>
    <xdr:from>
      <xdr:col>8</xdr:col>
      <xdr:colOff>415925</xdr:colOff>
      <xdr:row>55</xdr:row>
      <xdr:rowOff>59055</xdr:rowOff>
    </xdr:from>
    <xdr:to>
      <xdr:col>12</xdr:col>
      <xdr:colOff>19852</xdr:colOff>
      <xdr:row>75</xdr:row>
      <xdr:rowOff>121920</xdr:rowOff>
    </xdr:to>
    <xdr:grpSp>
      <xdr:nvGrpSpPr>
        <xdr:cNvPr id="71" name="Groupe 105">
          <a:extLst>
            <a:ext uri="{FF2B5EF4-FFF2-40B4-BE49-F238E27FC236}">
              <a16:creationId xmlns:a16="http://schemas.microsoft.com/office/drawing/2014/main" id="{FE683376-B0FA-440C-B02D-9F1CF682D0D0}"/>
            </a:ext>
          </a:extLst>
        </xdr:cNvPr>
        <xdr:cNvGrpSpPr/>
      </xdr:nvGrpSpPr>
      <xdr:grpSpPr>
        <a:xfrm>
          <a:off x="6140450" y="11489055"/>
          <a:ext cx="2728127" cy="3872865"/>
          <a:chOff x="423518" y="1609344"/>
          <a:chExt cx="2862624" cy="3453260"/>
        </a:xfrm>
      </xdr:grpSpPr>
      <xdr:grpSp>
        <xdr:nvGrpSpPr>
          <xdr:cNvPr id="72" name="Groupe 106">
            <a:extLst>
              <a:ext uri="{FF2B5EF4-FFF2-40B4-BE49-F238E27FC236}">
                <a16:creationId xmlns:a16="http://schemas.microsoft.com/office/drawing/2014/main" id="{C10E39A0-7E7A-E422-1157-D2B1E584782C}"/>
              </a:ext>
            </a:extLst>
          </xdr:cNvPr>
          <xdr:cNvGrpSpPr/>
        </xdr:nvGrpSpPr>
        <xdr:grpSpPr>
          <a:xfrm>
            <a:off x="423518" y="1609344"/>
            <a:ext cx="2862624" cy="2476881"/>
            <a:chOff x="423518" y="1609344"/>
            <a:chExt cx="2862624" cy="2476881"/>
          </a:xfrm>
        </xdr:grpSpPr>
        <xdr:graphicFrame macro="">
          <xdr:nvGraphicFramePr>
            <xdr:cNvPr id="74" name="Graphique 108">
              <a:extLst>
                <a:ext uri="{FF2B5EF4-FFF2-40B4-BE49-F238E27FC236}">
                  <a16:creationId xmlns:a16="http://schemas.microsoft.com/office/drawing/2014/main" id="{F7B76AAE-46C0-E2AF-A10C-D225D541FF81}"/>
                </a:ext>
              </a:extLst>
            </xdr:cNvPr>
            <xdr:cNvGraphicFramePr/>
          </xdr:nvGraphicFramePr>
          <xdr:xfrm>
            <a:off x="628650" y="1771650"/>
            <a:ext cx="2495402" cy="2314575"/>
          </xdr:xfrm>
          <a:graphic>
            <a:graphicData uri="http://schemas.openxmlformats.org/drawingml/2006/chart">
              <c:chart xmlns:c="http://schemas.openxmlformats.org/drawingml/2006/chart" xmlns:r="http://schemas.openxmlformats.org/officeDocument/2006/relationships" r:id="rId12"/>
            </a:graphicData>
          </a:graphic>
        </xdr:graphicFrame>
        <xdr:sp macro="" textlink="data!F18">
          <xdr:nvSpPr>
            <xdr:cNvPr id="75" name="CaixaDeTexto 4">
              <a:extLst>
                <a:ext uri="{FF2B5EF4-FFF2-40B4-BE49-F238E27FC236}">
                  <a16:creationId xmlns:a16="http://schemas.microsoft.com/office/drawing/2014/main" id="{F850E8FE-45C1-8B50-3349-66DB7ABFD9D8}"/>
                </a:ext>
              </a:extLst>
            </xdr:cNvPr>
            <xdr:cNvSpPr txBox="1"/>
          </xdr:nvSpPr>
          <xdr:spPr>
            <a:xfrm>
              <a:off x="978248" y="2643634"/>
              <a:ext cx="1792189" cy="5534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A0669EA1-EF36-4B18-8EC1-8203A2F90140}" type="TxLink">
                <a:rPr lang="en-US" sz="3600" b="0" i="0" u="none" strike="noStrike">
                  <a:solidFill>
                    <a:srgbClr val="000000"/>
                  </a:solidFill>
                  <a:latin typeface="Calibri"/>
                  <a:cs typeface="Calibri"/>
                </a:rPr>
                <a:pPr algn="ctr"/>
                <a:t>4</a:t>
              </a:fld>
              <a:endParaRPr lang="fr-CA" sz="3600" b="0"/>
            </a:p>
          </xdr:txBody>
        </xdr:sp>
        <xdr:sp macro="" textlink="">
          <xdr:nvSpPr>
            <xdr:cNvPr id="76" name="ZoneTexte 110">
              <a:hlinkClick xmlns:r="http://schemas.openxmlformats.org/officeDocument/2006/relationships" r:id="rId9" tooltip="Show details"/>
              <a:extLst>
                <a:ext uri="{FF2B5EF4-FFF2-40B4-BE49-F238E27FC236}">
                  <a16:creationId xmlns:a16="http://schemas.microsoft.com/office/drawing/2014/main" id="{8780BC89-300C-4962-B1A0-D9348695F522}"/>
                </a:ext>
              </a:extLst>
            </xdr:cNvPr>
            <xdr:cNvSpPr txBox="1"/>
          </xdr:nvSpPr>
          <xdr:spPr>
            <a:xfrm>
              <a:off x="423518" y="1609344"/>
              <a:ext cx="2862624" cy="3085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fr-FR" sz="1400"/>
                <a:t>Modified Groups</a:t>
              </a:r>
            </a:p>
          </xdr:txBody>
        </xdr:sp>
      </xdr:grpSp>
      <xdr:sp macro="" textlink="">
        <xdr:nvSpPr>
          <xdr:cNvPr id="73" name="ZoneTexte 107">
            <a:extLst>
              <a:ext uri="{FF2B5EF4-FFF2-40B4-BE49-F238E27FC236}">
                <a16:creationId xmlns:a16="http://schemas.microsoft.com/office/drawing/2014/main" id="{938E3F03-33C7-3751-8EE6-AD40A3141FBE}"/>
              </a:ext>
            </a:extLst>
          </xdr:cNvPr>
          <xdr:cNvSpPr txBox="1"/>
        </xdr:nvSpPr>
        <xdr:spPr>
          <a:xfrm>
            <a:off x="658179" y="3943350"/>
            <a:ext cx="2465068" cy="1119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t>Modified </a:t>
            </a:r>
            <a:r>
              <a:rPr lang="fr-FR" sz="1100" baseline="0"/>
              <a:t>groups with regard to the total number of groups </a:t>
            </a:r>
            <a:r>
              <a:rPr lang="fr-FR" sz="1100">
                <a:solidFill>
                  <a:schemeClr val="dk1"/>
                </a:solidFill>
                <a:effectLst/>
                <a:latin typeface="+mn-lt"/>
                <a:ea typeface="+mn-ea"/>
                <a:cs typeface="+mn-cs"/>
              </a:rPr>
              <a:t>providing</a:t>
            </a:r>
            <a:r>
              <a:rPr lang="fr-FR" sz="1100" baseline="0">
                <a:solidFill>
                  <a:schemeClr val="dk1"/>
                </a:solidFill>
                <a:effectLst/>
                <a:latin typeface="+mn-lt"/>
                <a:ea typeface="+mn-ea"/>
                <a:cs typeface="+mn-cs"/>
              </a:rPr>
              <a:t> access to my safes</a:t>
            </a:r>
            <a:r>
              <a:rPr lang="fr-FR" sz="1100"/>
              <a:t>. A group is considered "modified"</a:t>
            </a:r>
            <a:r>
              <a:rPr lang="fr-FR" sz="1100" baseline="0"/>
              <a:t> if any change occured regarding the direct/indirect members.</a:t>
            </a:r>
          </a:p>
        </xdr:txBody>
      </xdr:sp>
    </xdr:grpSp>
    <xdr:clientData/>
  </xdr:twoCellAnchor>
  <xdr:twoCellAnchor>
    <xdr:from>
      <xdr:col>12</xdr:col>
      <xdr:colOff>243839</xdr:colOff>
      <xdr:row>55</xdr:row>
      <xdr:rowOff>55245</xdr:rowOff>
    </xdr:from>
    <xdr:to>
      <xdr:col>15</xdr:col>
      <xdr:colOff>634531</xdr:colOff>
      <xdr:row>75</xdr:row>
      <xdr:rowOff>30481</xdr:rowOff>
    </xdr:to>
    <xdr:grpSp>
      <xdr:nvGrpSpPr>
        <xdr:cNvPr id="83" name="Groupe 105">
          <a:extLst>
            <a:ext uri="{FF2B5EF4-FFF2-40B4-BE49-F238E27FC236}">
              <a16:creationId xmlns:a16="http://schemas.microsoft.com/office/drawing/2014/main" id="{1C82C220-CEAB-491C-B1BC-6E8617EEC0A0}"/>
            </a:ext>
          </a:extLst>
        </xdr:cNvPr>
        <xdr:cNvGrpSpPr/>
      </xdr:nvGrpSpPr>
      <xdr:grpSpPr>
        <a:xfrm>
          <a:off x="9092564" y="11485245"/>
          <a:ext cx="2733842" cy="3785236"/>
          <a:chOff x="423518" y="1609344"/>
          <a:chExt cx="2862624" cy="3362856"/>
        </a:xfrm>
      </xdr:grpSpPr>
      <xdr:grpSp>
        <xdr:nvGrpSpPr>
          <xdr:cNvPr id="84" name="Groupe 106">
            <a:extLst>
              <a:ext uri="{FF2B5EF4-FFF2-40B4-BE49-F238E27FC236}">
                <a16:creationId xmlns:a16="http://schemas.microsoft.com/office/drawing/2014/main" id="{707FA2CC-9795-3384-650B-D11FB6C65538}"/>
              </a:ext>
            </a:extLst>
          </xdr:cNvPr>
          <xdr:cNvGrpSpPr/>
        </xdr:nvGrpSpPr>
        <xdr:grpSpPr>
          <a:xfrm>
            <a:off x="423518" y="1609344"/>
            <a:ext cx="2862624" cy="2476881"/>
            <a:chOff x="423518" y="1609344"/>
            <a:chExt cx="2862624" cy="2476881"/>
          </a:xfrm>
        </xdr:grpSpPr>
        <xdr:graphicFrame macro="">
          <xdr:nvGraphicFramePr>
            <xdr:cNvPr id="86" name="Graphique 108">
              <a:extLst>
                <a:ext uri="{FF2B5EF4-FFF2-40B4-BE49-F238E27FC236}">
                  <a16:creationId xmlns:a16="http://schemas.microsoft.com/office/drawing/2014/main" id="{A1833B24-7664-B4FC-991E-A008D39BAB87}"/>
                </a:ext>
              </a:extLst>
            </xdr:cNvPr>
            <xdr:cNvGraphicFramePr/>
          </xdr:nvGraphicFramePr>
          <xdr:xfrm>
            <a:off x="628650" y="1771650"/>
            <a:ext cx="2495402" cy="2314575"/>
          </xdr:xfrm>
          <a:graphic>
            <a:graphicData uri="http://schemas.openxmlformats.org/drawingml/2006/chart">
              <c:chart xmlns:c="http://schemas.openxmlformats.org/drawingml/2006/chart" xmlns:r="http://schemas.openxmlformats.org/officeDocument/2006/relationships" r:id="rId13"/>
            </a:graphicData>
          </a:graphic>
        </xdr:graphicFrame>
        <xdr:sp macro="" textlink="data!H18">
          <xdr:nvSpPr>
            <xdr:cNvPr id="87" name="CaixaDeTexto 4">
              <a:extLst>
                <a:ext uri="{FF2B5EF4-FFF2-40B4-BE49-F238E27FC236}">
                  <a16:creationId xmlns:a16="http://schemas.microsoft.com/office/drawing/2014/main" id="{5E9CC86D-5C2A-7949-7491-811B6FFEB1BE}"/>
                </a:ext>
              </a:extLst>
            </xdr:cNvPr>
            <xdr:cNvSpPr txBox="1"/>
          </xdr:nvSpPr>
          <xdr:spPr>
            <a:xfrm>
              <a:off x="978248" y="2643634"/>
              <a:ext cx="1792189" cy="5534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E682D95B-A31B-48D8-BAE3-8CA2F70C03AC}" type="TxLink">
                <a:rPr lang="en-US" sz="3600" b="0" i="0" u="none" strike="noStrike">
                  <a:solidFill>
                    <a:srgbClr val="000000"/>
                  </a:solidFill>
                  <a:latin typeface="Calibri"/>
                  <a:cs typeface="Calibri"/>
                </a:rPr>
                <a:pPr algn="ctr"/>
                <a:t>0</a:t>
              </a:fld>
              <a:endParaRPr lang="fr-CA" sz="3600" b="0"/>
            </a:p>
          </xdr:txBody>
        </xdr:sp>
        <xdr:sp macro="" textlink="">
          <xdr:nvSpPr>
            <xdr:cNvPr id="88" name="ZoneTexte 110">
              <a:hlinkClick xmlns:r="http://schemas.openxmlformats.org/officeDocument/2006/relationships" r:id="rId9" tooltip="Show details"/>
              <a:extLst>
                <a:ext uri="{FF2B5EF4-FFF2-40B4-BE49-F238E27FC236}">
                  <a16:creationId xmlns:a16="http://schemas.microsoft.com/office/drawing/2014/main" id="{5BCF45F6-1603-F75C-5A80-F892950B2EA0}"/>
                </a:ext>
              </a:extLst>
            </xdr:cNvPr>
            <xdr:cNvSpPr txBox="1"/>
          </xdr:nvSpPr>
          <xdr:spPr>
            <a:xfrm>
              <a:off x="423518" y="1609344"/>
              <a:ext cx="2862624" cy="3085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fr-FR" sz="1400"/>
                <a:t>Deleted Groups</a:t>
              </a:r>
            </a:p>
          </xdr:txBody>
        </xdr:sp>
      </xdr:grpSp>
      <xdr:sp macro="" textlink="">
        <xdr:nvSpPr>
          <xdr:cNvPr id="85" name="ZoneTexte 107">
            <a:extLst>
              <a:ext uri="{FF2B5EF4-FFF2-40B4-BE49-F238E27FC236}">
                <a16:creationId xmlns:a16="http://schemas.microsoft.com/office/drawing/2014/main" id="{8A8D95FE-F308-F744-513C-350E7A806D0E}"/>
              </a:ext>
            </a:extLst>
          </xdr:cNvPr>
          <xdr:cNvSpPr txBox="1"/>
        </xdr:nvSpPr>
        <xdr:spPr>
          <a:xfrm>
            <a:off x="762000" y="3943351"/>
            <a:ext cx="2257425" cy="10288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t>Deleted groups </a:t>
            </a:r>
            <a:r>
              <a:rPr lang="fr-FR" sz="1100" baseline="0"/>
              <a:t>with nested groups with regard to the total number of groups </a:t>
            </a:r>
            <a:r>
              <a:rPr lang="fr-FR" sz="1100">
                <a:solidFill>
                  <a:schemeClr val="dk1"/>
                </a:solidFill>
                <a:effectLst/>
                <a:latin typeface="+mn-lt"/>
                <a:ea typeface="+mn-ea"/>
                <a:cs typeface="+mn-cs"/>
              </a:rPr>
              <a:t>providing</a:t>
            </a:r>
            <a:r>
              <a:rPr lang="fr-FR" sz="1100" baseline="0">
                <a:solidFill>
                  <a:schemeClr val="dk1"/>
                </a:solidFill>
                <a:effectLst/>
                <a:latin typeface="+mn-lt"/>
                <a:ea typeface="+mn-ea"/>
                <a:cs typeface="+mn-cs"/>
              </a:rPr>
              <a:t> access to my safes</a:t>
            </a:r>
            <a:r>
              <a:rPr lang="fr-FR" sz="1100"/>
              <a:t>.</a:t>
            </a:r>
          </a:p>
        </xdr:txBody>
      </xdr:sp>
    </xdr:grpSp>
    <xdr:clientData/>
  </xdr:twoCellAnchor>
  <xdr:twoCellAnchor>
    <xdr:from>
      <xdr:col>0</xdr:col>
      <xdr:colOff>245745</xdr:colOff>
      <xdr:row>78</xdr:row>
      <xdr:rowOff>148590</xdr:rowOff>
    </xdr:from>
    <xdr:to>
      <xdr:col>4</xdr:col>
      <xdr:colOff>377357</xdr:colOff>
      <xdr:row>97</xdr:row>
      <xdr:rowOff>137160</xdr:rowOff>
    </xdr:to>
    <xdr:grpSp>
      <xdr:nvGrpSpPr>
        <xdr:cNvPr id="117" name="Groupe 105">
          <a:extLst>
            <a:ext uri="{FF2B5EF4-FFF2-40B4-BE49-F238E27FC236}">
              <a16:creationId xmlns:a16="http://schemas.microsoft.com/office/drawing/2014/main" id="{32559D2B-BE65-4BC8-9B9B-9ABD732F4716}"/>
            </a:ext>
          </a:extLst>
        </xdr:cNvPr>
        <xdr:cNvGrpSpPr/>
      </xdr:nvGrpSpPr>
      <xdr:grpSpPr>
        <a:xfrm>
          <a:off x="245745" y="16036290"/>
          <a:ext cx="2731937" cy="3608070"/>
          <a:chOff x="423518" y="1609344"/>
          <a:chExt cx="2862624" cy="3160577"/>
        </a:xfrm>
      </xdr:grpSpPr>
      <xdr:grpSp>
        <xdr:nvGrpSpPr>
          <xdr:cNvPr id="118" name="Groupe 106">
            <a:extLst>
              <a:ext uri="{FF2B5EF4-FFF2-40B4-BE49-F238E27FC236}">
                <a16:creationId xmlns:a16="http://schemas.microsoft.com/office/drawing/2014/main" id="{671C52AC-3D61-3D53-7F22-C165C693D8E5}"/>
              </a:ext>
            </a:extLst>
          </xdr:cNvPr>
          <xdr:cNvGrpSpPr/>
        </xdr:nvGrpSpPr>
        <xdr:grpSpPr>
          <a:xfrm>
            <a:off x="423518" y="1609344"/>
            <a:ext cx="2862624" cy="2476881"/>
            <a:chOff x="423518" y="1609344"/>
            <a:chExt cx="2862624" cy="2476881"/>
          </a:xfrm>
        </xdr:grpSpPr>
        <xdr:graphicFrame macro="">
          <xdr:nvGraphicFramePr>
            <xdr:cNvPr id="120" name="Graphique 108">
              <a:extLst>
                <a:ext uri="{FF2B5EF4-FFF2-40B4-BE49-F238E27FC236}">
                  <a16:creationId xmlns:a16="http://schemas.microsoft.com/office/drawing/2014/main" id="{92A516EC-A8FE-9ECF-E317-A67D120E87A8}"/>
                </a:ext>
              </a:extLst>
            </xdr:cNvPr>
            <xdr:cNvGraphicFramePr/>
          </xdr:nvGraphicFramePr>
          <xdr:xfrm>
            <a:off x="628650" y="1771650"/>
            <a:ext cx="2495402" cy="2314575"/>
          </xdr:xfrm>
          <a:graphic>
            <a:graphicData uri="http://schemas.openxmlformats.org/drawingml/2006/chart">
              <c:chart xmlns:c="http://schemas.openxmlformats.org/drawingml/2006/chart" xmlns:r="http://schemas.openxmlformats.org/officeDocument/2006/relationships" r:id="rId14"/>
            </a:graphicData>
          </a:graphic>
        </xdr:graphicFrame>
        <xdr:sp macro="" textlink="data!D23">
          <xdr:nvSpPr>
            <xdr:cNvPr id="121" name="CaixaDeTexto 4">
              <a:extLst>
                <a:ext uri="{FF2B5EF4-FFF2-40B4-BE49-F238E27FC236}">
                  <a16:creationId xmlns:a16="http://schemas.microsoft.com/office/drawing/2014/main" id="{F3A713AB-CA1D-4291-51C0-68676804CC70}"/>
                </a:ext>
              </a:extLst>
            </xdr:cNvPr>
            <xdr:cNvSpPr txBox="1"/>
          </xdr:nvSpPr>
          <xdr:spPr>
            <a:xfrm>
              <a:off x="978248" y="2643634"/>
              <a:ext cx="1792189" cy="5534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A7414F99-E670-49F4-977E-9344CBA75103}" type="TxLink">
                <a:rPr lang="en-US" sz="3600" b="0" i="0" u="none" strike="noStrike">
                  <a:solidFill>
                    <a:srgbClr val="000000"/>
                  </a:solidFill>
                  <a:latin typeface="Calibri"/>
                  <a:cs typeface="Calibri"/>
                </a:rPr>
                <a:pPr algn="ctr"/>
                <a:t>14</a:t>
              </a:fld>
              <a:endParaRPr lang="fr-CA" sz="3600" b="0"/>
            </a:p>
          </xdr:txBody>
        </xdr:sp>
        <xdr:sp macro="" textlink="">
          <xdr:nvSpPr>
            <xdr:cNvPr id="122" name="ZoneTexte 110">
              <a:hlinkClick xmlns:r="http://schemas.openxmlformats.org/officeDocument/2006/relationships" r:id="rId15" tooltip="Show details"/>
              <a:extLst>
                <a:ext uri="{FF2B5EF4-FFF2-40B4-BE49-F238E27FC236}">
                  <a16:creationId xmlns:a16="http://schemas.microsoft.com/office/drawing/2014/main" id="{C2A3E1B1-5ED2-F817-6C96-302013ACF022}"/>
                </a:ext>
              </a:extLst>
            </xdr:cNvPr>
            <xdr:cNvSpPr txBox="1"/>
          </xdr:nvSpPr>
          <xdr:spPr>
            <a:xfrm>
              <a:off x="423518" y="1609344"/>
              <a:ext cx="2862624" cy="29294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fr-FR" sz="1400"/>
                <a:t>New Credentials</a:t>
              </a:r>
            </a:p>
          </xdr:txBody>
        </xdr:sp>
      </xdr:grpSp>
      <xdr:sp macro="" textlink="">
        <xdr:nvSpPr>
          <xdr:cNvPr id="119" name="ZoneTexte 107">
            <a:extLst>
              <a:ext uri="{FF2B5EF4-FFF2-40B4-BE49-F238E27FC236}">
                <a16:creationId xmlns:a16="http://schemas.microsoft.com/office/drawing/2014/main" id="{2511CBE6-17D7-93D2-C166-98C45B75E060}"/>
              </a:ext>
            </a:extLst>
          </xdr:cNvPr>
          <xdr:cNvSpPr txBox="1"/>
        </xdr:nvSpPr>
        <xdr:spPr>
          <a:xfrm>
            <a:off x="762000" y="3943350"/>
            <a:ext cx="2257425" cy="8265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t>New credentials in my safes since the last PAM Booster analysis with regard to the total number</a:t>
            </a:r>
            <a:r>
              <a:rPr lang="fr-FR" sz="1100" baseline="0"/>
              <a:t> of credentials in my safes.</a:t>
            </a:r>
            <a:endParaRPr lang="fr-FR" sz="1100"/>
          </a:p>
        </xdr:txBody>
      </xdr:sp>
    </xdr:grpSp>
    <xdr:clientData/>
  </xdr:twoCellAnchor>
  <xdr:twoCellAnchor>
    <xdr:from>
      <xdr:col>4</xdr:col>
      <xdr:colOff>584200</xdr:colOff>
      <xdr:row>78</xdr:row>
      <xdr:rowOff>148590</xdr:rowOff>
    </xdr:from>
    <xdr:to>
      <xdr:col>8</xdr:col>
      <xdr:colOff>191937</xdr:colOff>
      <xdr:row>97</xdr:row>
      <xdr:rowOff>83820</xdr:rowOff>
    </xdr:to>
    <xdr:grpSp>
      <xdr:nvGrpSpPr>
        <xdr:cNvPr id="129" name="Groupe 105">
          <a:extLst>
            <a:ext uri="{FF2B5EF4-FFF2-40B4-BE49-F238E27FC236}">
              <a16:creationId xmlns:a16="http://schemas.microsoft.com/office/drawing/2014/main" id="{90B02143-F318-4D5B-ACFA-6DC828D1F5CA}"/>
            </a:ext>
          </a:extLst>
        </xdr:cNvPr>
        <xdr:cNvGrpSpPr/>
      </xdr:nvGrpSpPr>
      <xdr:grpSpPr>
        <a:xfrm>
          <a:off x="3184525" y="16036290"/>
          <a:ext cx="2731937" cy="3554730"/>
          <a:chOff x="423518" y="1609344"/>
          <a:chExt cx="2862624" cy="3099572"/>
        </a:xfrm>
      </xdr:grpSpPr>
      <xdr:grpSp>
        <xdr:nvGrpSpPr>
          <xdr:cNvPr id="130" name="Groupe 106">
            <a:extLst>
              <a:ext uri="{FF2B5EF4-FFF2-40B4-BE49-F238E27FC236}">
                <a16:creationId xmlns:a16="http://schemas.microsoft.com/office/drawing/2014/main" id="{8FF25D8F-AF33-79E8-0B47-4DBA24F7B899}"/>
              </a:ext>
            </a:extLst>
          </xdr:cNvPr>
          <xdr:cNvGrpSpPr/>
        </xdr:nvGrpSpPr>
        <xdr:grpSpPr>
          <a:xfrm>
            <a:off x="423518" y="1609344"/>
            <a:ext cx="2862624" cy="2476881"/>
            <a:chOff x="423518" y="1609344"/>
            <a:chExt cx="2862624" cy="2476881"/>
          </a:xfrm>
        </xdr:grpSpPr>
        <xdr:graphicFrame macro="">
          <xdr:nvGraphicFramePr>
            <xdr:cNvPr id="132" name="Graphique 108">
              <a:extLst>
                <a:ext uri="{FF2B5EF4-FFF2-40B4-BE49-F238E27FC236}">
                  <a16:creationId xmlns:a16="http://schemas.microsoft.com/office/drawing/2014/main" id="{BD62738F-33ED-BDCC-D3F1-9212144D9FEE}"/>
                </a:ext>
              </a:extLst>
            </xdr:cNvPr>
            <xdr:cNvGraphicFramePr/>
          </xdr:nvGraphicFramePr>
          <xdr:xfrm>
            <a:off x="628650" y="1771650"/>
            <a:ext cx="2495402" cy="2314575"/>
          </xdr:xfrm>
          <a:graphic>
            <a:graphicData uri="http://schemas.openxmlformats.org/drawingml/2006/chart">
              <c:chart xmlns:c="http://schemas.openxmlformats.org/drawingml/2006/chart" xmlns:r="http://schemas.openxmlformats.org/officeDocument/2006/relationships" r:id="rId16"/>
            </a:graphicData>
          </a:graphic>
        </xdr:graphicFrame>
        <xdr:sp macro="" textlink="data!H23">
          <xdr:nvSpPr>
            <xdr:cNvPr id="133" name="CaixaDeTexto 4">
              <a:extLst>
                <a:ext uri="{FF2B5EF4-FFF2-40B4-BE49-F238E27FC236}">
                  <a16:creationId xmlns:a16="http://schemas.microsoft.com/office/drawing/2014/main" id="{6F339266-B90D-8DF4-61D3-4803F9556FB6}"/>
                </a:ext>
              </a:extLst>
            </xdr:cNvPr>
            <xdr:cNvSpPr txBox="1"/>
          </xdr:nvSpPr>
          <xdr:spPr>
            <a:xfrm>
              <a:off x="978248" y="2643634"/>
              <a:ext cx="1792189" cy="5534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B64FD316-693F-4C21-BC55-6E96DEF02416}" type="TxLink">
                <a:rPr lang="en-US" sz="3600" b="0" i="0" u="none" strike="noStrike">
                  <a:solidFill>
                    <a:srgbClr val="000000"/>
                  </a:solidFill>
                  <a:latin typeface="Calibri"/>
                  <a:cs typeface="Calibri"/>
                </a:rPr>
                <a:pPr algn="ctr"/>
                <a:t>0</a:t>
              </a:fld>
              <a:endParaRPr lang="fr-CA" sz="3600" b="0"/>
            </a:p>
          </xdr:txBody>
        </xdr:sp>
        <xdr:sp macro="" textlink="">
          <xdr:nvSpPr>
            <xdr:cNvPr id="134" name="ZoneTexte 110">
              <a:hlinkClick xmlns:r="http://schemas.openxmlformats.org/officeDocument/2006/relationships" r:id="rId15" tooltip="Show details"/>
              <a:extLst>
                <a:ext uri="{FF2B5EF4-FFF2-40B4-BE49-F238E27FC236}">
                  <a16:creationId xmlns:a16="http://schemas.microsoft.com/office/drawing/2014/main" id="{80DE9021-CDE5-2D49-AE88-C430D24FDCB0}"/>
                </a:ext>
              </a:extLst>
            </xdr:cNvPr>
            <xdr:cNvSpPr txBox="1"/>
          </xdr:nvSpPr>
          <xdr:spPr>
            <a:xfrm>
              <a:off x="423518" y="1609344"/>
              <a:ext cx="2862624" cy="29294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fr-FR" sz="1400"/>
                <a:t>Deleted Credentials</a:t>
              </a:r>
            </a:p>
          </xdr:txBody>
        </xdr:sp>
      </xdr:grpSp>
      <xdr:sp macro="" textlink="">
        <xdr:nvSpPr>
          <xdr:cNvPr id="131" name="ZoneTexte 107">
            <a:extLst>
              <a:ext uri="{FF2B5EF4-FFF2-40B4-BE49-F238E27FC236}">
                <a16:creationId xmlns:a16="http://schemas.microsoft.com/office/drawing/2014/main" id="{34B8C274-2647-C6EC-A94B-75C20335167F}"/>
              </a:ext>
            </a:extLst>
          </xdr:cNvPr>
          <xdr:cNvSpPr txBox="1"/>
        </xdr:nvSpPr>
        <xdr:spPr>
          <a:xfrm>
            <a:off x="762000" y="3943351"/>
            <a:ext cx="2257425" cy="7655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t>Deleted credentials in my safes with regard to the total number</a:t>
            </a:r>
            <a:r>
              <a:rPr lang="fr-FR" sz="1100" baseline="0"/>
              <a:t> of credentials in my safes.</a:t>
            </a:r>
          </a:p>
        </xdr:txBody>
      </xdr:sp>
    </xdr:grpSp>
    <xdr:clientData/>
  </xdr:twoCellAnchor>
  <xdr:twoCellAnchor>
    <xdr:from>
      <xdr:col>8</xdr:col>
      <xdr:colOff>402590</xdr:colOff>
      <xdr:row>78</xdr:row>
      <xdr:rowOff>148590</xdr:rowOff>
    </xdr:from>
    <xdr:to>
      <xdr:col>12</xdr:col>
      <xdr:colOff>10327</xdr:colOff>
      <xdr:row>97</xdr:row>
      <xdr:rowOff>38100</xdr:rowOff>
    </xdr:to>
    <xdr:grpSp>
      <xdr:nvGrpSpPr>
        <xdr:cNvPr id="135" name="Groupe 105">
          <a:extLst>
            <a:ext uri="{FF2B5EF4-FFF2-40B4-BE49-F238E27FC236}">
              <a16:creationId xmlns:a16="http://schemas.microsoft.com/office/drawing/2014/main" id="{C117F946-A7F4-4FF8-A70C-889C90C56794}"/>
            </a:ext>
          </a:extLst>
        </xdr:cNvPr>
        <xdr:cNvGrpSpPr/>
      </xdr:nvGrpSpPr>
      <xdr:grpSpPr>
        <a:xfrm>
          <a:off x="6127115" y="16036290"/>
          <a:ext cx="2731937" cy="3509010"/>
          <a:chOff x="423518" y="1609344"/>
          <a:chExt cx="2862624" cy="3047283"/>
        </a:xfrm>
      </xdr:grpSpPr>
      <xdr:grpSp>
        <xdr:nvGrpSpPr>
          <xdr:cNvPr id="136" name="Groupe 106">
            <a:extLst>
              <a:ext uri="{FF2B5EF4-FFF2-40B4-BE49-F238E27FC236}">
                <a16:creationId xmlns:a16="http://schemas.microsoft.com/office/drawing/2014/main" id="{88EB6CBC-544B-840B-A275-9269370E0E59}"/>
              </a:ext>
            </a:extLst>
          </xdr:cNvPr>
          <xdr:cNvGrpSpPr/>
        </xdr:nvGrpSpPr>
        <xdr:grpSpPr>
          <a:xfrm>
            <a:off x="423518" y="1609344"/>
            <a:ext cx="2862624" cy="2476881"/>
            <a:chOff x="423518" y="1609344"/>
            <a:chExt cx="2862624" cy="2476881"/>
          </a:xfrm>
        </xdr:grpSpPr>
        <xdr:graphicFrame macro="">
          <xdr:nvGraphicFramePr>
            <xdr:cNvPr id="138" name="Graphique 108">
              <a:extLst>
                <a:ext uri="{FF2B5EF4-FFF2-40B4-BE49-F238E27FC236}">
                  <a16:creationId xmlns:a16="http://schemas.microsoft.com/office/drawing/2014/main" id="{D7A4965C-BD3C-80FC-0897-D0CF340DE257}"/>
                </a:ext>
              </a:extLst>
            </xdr:cNvPr>
            <xdr:cNvGraphicFramePr/>
          </xdr:nvGraphicFramePr>
          <xdr:xfrm>
            <a:off x="628650" y="1771650"/>
            <a:ext cx="2495402" cy="2314575"/>
          </xdr:xfrm>
          <a:graphic>
            <a:graphicData uri="http://schemas.openxmlformats.org/drawingml/2006/chart">
              <c:chart xmlns:c="http://schemas.openxmlformats.org/drawingml/2006/chart" xmlns:r="http://schemas.openxmlformats.org/officeDocument/2006/relationships" r:id="rId17"/>
            </a:graphicData>
          </a:graphic>
        </xdr:graphicFrame>
        <xdr:sp macro="" textlink="data!B25">
          <xdr:nvSpPr>
            <xdr:cNvPr id="139" name="CaixaDeTexto 4">
              <a:extLst>
                <a:ext uri="{FF2B5EF4-FFF2-40B4-BE49-F238E27FC236}">
                  <a16:creationId xmlns:a16="http://schemas.microsoft.com/office/drawing/2014/main" id="{D7E03A99-EC1D-3497-092B-3B172DB55D35}"/>
                </a:ext>
              </a:extLst>
            </xdr:cNvPr>
            <xdr:cNvSpPr txBox="1"/>
          </xdr:nvSpPr>
          <xdr:spPr>
            <a:xfrm>
              <a:off x="978248" y="2643634"/>
              <a:ext cx="1792189" cy="5534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55C7E6DC-B37F-4684-BF75-42E100B205A2}" type="TxLink">
                <a:rPr lang="en-US" sz="3600" b="0" i="0" u="none" strike="noStrike">
                  <a:solidFill>
                    <a:srgbClr val="C00000"/>
                  </a:solidFill>
                  <a:latin typeface="Calibri"/>
                  <a:cs typeface="Calibri"/>
                </a:rPr>
                <a:pPr algn="ctr"/>
                <a:t>13</a:t>
              </a:fld>
              <a:endParaRPr lang="fr-CA" sz="3600" b="0">
                <a:solidFill>
                  <a:srgbClr val="C00000"/>
                </a:solidFill>
              </a:endParaRPr>
            </a:p>
          </xdr:txBody>
        </xdr:sp>
        <xdr:sp macro="" textlink="">
          <xdr:nvSpPr>
            <xdr:cNvPr id="140" name="ZoneTexte 110">
              <a:hlinkClick xmlns:r="http://schemas.openxmlformats.org/officeDocument/2006/relationships" r:id="rId18" tooltip="Show details"/>
              <a:extLst>
                <a:ext uri="{FF2B5EF4-FFF2-40B4-BE49-F238E27FC236}">
                  <a16:creationId xmlns:a16="http://schemas.microsoft.com/office/drawing/2014/main" id="{EBEEC6EB-28FF-E0F9-98B3-DAE389977A33}"/>
                </a:ext>
              </a:extLst>
            </xdr:cNvPr>
            <xdr:cNvSpPr txBox="1"/>
          </xdr:nvSpPr>
          <xdr:spPr>
            <a:xfrm>
              <a:off x="423518" y="1609344"/>
              <a:ext cx="2862624" cy="29294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fr-FR" sz="1400"/>
                <a:t>Credentials with CPM disabled</a:t>
              </a:r>
            </a:p>
          </xdr:txBody>
        </xdr:sp>
      </xdr:grpSp>
      <xdr:sp macro="" textlink="">
        <xdr:nvSpPr>
          <xdr:cNvPr id="137" name="ZoneTexte 107">
            <a:extLst>
              <a:ext uri="{FF2B5EF4-FFF2-40B4-BE49-F238E27FC236}">
                <a16:creationId xmlns:a16="http://schemas.microsoft.com/office/drawing/2014/main" id="{28699E91-515A-1F54-A4B6-E9830EAC5B5C}"/>
              </a:ext>
            </a:extLst>
          </xdr:cNvPr>
          <xdr:cNvSpPr txBox="1"/>
        </xdr:nvSpPr>
        <xdr:spPr>
          <a:xfrm>
            <a:off x="762000" y="3943350"/>
            <a:ext cx="2257425" cy="7132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t>Credentials in my safes with the CPM disabled with regard to the total number of credentials</a:t>
            </a:r>
            <a:r>
              <a:rPr lang="fr-FR" sz="1100" baseline="0"/>
              <a:t>.</a:t>
            </a:r>
          </a:p>
        </xdr:txBody>
      </xdr:sp>
    </xdr:grpSp>
    <xdr:clientData/>
  </xdr:twoCellAnchor>
  <xdr:twoCellAnchor>
    <xdr:from>
      <xdr:col>12</xdr:col>
      <xdr:colOff>215264</xdr:colOff>
      <xdr:row>78</xdr:row>
      <xdr:rowOff>148590</xdr:rowOff>
    </xdr:from>
    <xdr:to>
      <xdr:col>15</xdr:col>
      <xdr:colOff>634531</xdr:colOff>
      <xdr:row>97</xdr:row>
      <xdr:rowOff>83820</xdr:rowOff>
    </xdr:to>
    <xdr:grpSp>
      <xdr:nvGrpSpPr>
        <xdr:cNvPr id="141" name="Groupe 105">
          <a:extLst>
            <a:ext uri="{FF2B5EF4-FFF2-40B4-BE49-F238E27FC236}">
              <a16:creationId xmlns:a16="http://schemas.microsoft.com/office/drawing/2014/main" id="{B3ADA4B2-D965-49B7-9447-4908D728B532}"/>
            </a:ext>
          </a:extLst>
        </xdr:cNvPr>
        <xdr:cNvGrpSpPr/>
      </xdr:nvGrpSpPr>
      <xdr:grpSpPr>
        <a:xfrm>
          <a:off x="9063989" y="16036290"/>
          <a:ext cx="2762417" cy="3554730"/>
          <a:chOff x="423518" y="1609344"/>
          <a:chExt cx="2862624" cy="3036752"/>
        </a:xfrm>
      </xdr:grpSpPr>
      <xdr:grpSp>
        <xdr:nvGrpSpPr>
          <xdr:cNvPr id="142" name="Groupe 106">
            <a:extLst>
              <a:ext uri="{FF2B5EF4-FFF2-40B4-BE49-F238E27FC236}">
                <a16:creationId xmlns:a16="http://schemas.microsoft.com/office/drawing/2014/main" id="{2D006479-026B-148E-747C-506BA2E22436}"/>
              </a:ext>
            </a:extLst>
          </xdr:cNvPr>
          <xdr:cNvGrpSpPr/>
        </xdr:nvGrpSpPr>
        <xdr:grpSpPr>
          <a:xfrm>
            <a:off x="423518" y="1609344"/>
            <a:ext cx="2862624" cy="2476881"/>
            <a:chOff x="423518" y="1609344"/>
            <a:chExt cx="2862624" cy="2476881"/>
          </a:xfrm>
        </xdr:grpSpPr>
        <xdr:graphicFrame macro="">
          <xdr:nvGraphicFramePr>
            <xdr:cNvPr id="144" name="Graphique 108">
              <a:extLst>
                <a:ext uri="{FF2B5EF4-FFF2-40B4-BE49-F238E27FC236}">
                  <a16:creationId xmlns:a16="http://schemas.microsoft.com/office/drawing/2014/main" id="{0F64B7EF-64B8-67C7-7576-46715AFCCFFC}"/>
                </a:ext>
              </a:extLst>
            </xdr:cNvPr>
            <xdr:cNvGraphicFramePr/>
          </xdr:nvGraphicFramePr>
          <xdr:xfrm>
            <a:off x="628650" y="1771650"/>
            <a:ext cx="2495402" cy="2314575"/>
          </xdr:xfrm>
          <a:graphic>
            <a:graphicData uri="http://schemas.openxmlformats.org/drawingml/2006/chart">
              <c:chart xmlns:c="http://schemas.openxmlformats.org/drawingml/2006/chart" xmlns:r="http://schemas.openxmlformats.org/officeDocument/2006/relationships" r:id="rId19"/>
            </a:graphicData>
          </a:graphic>
        </xdr:graphicFrame>
        <xdr:sp macro="" textlink="data!B27">
          <xdr:nvSpPr>
            <xdr:cNvPr id="145" name="CaixaDeTexto 4">
              <a:extLst>
                <a:ext uri="{FF2B5EF4-FFF2-40B4-BE49-F238E27FC236}">
                  <a16:creationId xmlns:a16="http://schemas.microsoft.com/office/drawing/2014/main" id="{EAB35FE2-D1E0-22E0-2C94-2A0ACB39135A}"/>
                </a:ext>
              </a:extLst>
            </xdr:cNvPr>
            <xdr:cNvSpPr txBox="1"/>
          </xdr:nvSpPr>
          <xdr:spPr>
            <a:xfrm>
              <a:off x="978248" y="2643634"/>
              <a:ext cx="1792189" cy="5534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FE4F7740-8E5E-4D38-BCEA-6102A6358E44}" type="TxLink">
                <a:rPr lang="en-US" sz="3600" b="0" i="0" u="none" strike="noStrike">
                  <a:solidFill>
                    <a:srgbClr val="C00000"/>
                  </a:solidFill>
                  <a:latin typeface="Calibri"/>
                  <a:cs typeface="Calibri"/>
                </a:rPr>
                <a:pPr algn="ctr"/>
                <a:t>10</a:t>
              </a:fld>
              <a:endParaRPr lang="fr-CA" sz="3600" b="0">
                <a:solidFill>
                  <a:srgbClr val="C00000"/>
                </a:solidFill>
              </a:endParaRPr>
            </a:p>
          </xdr:txBody>
        </xdr:sp>
        <xdr:sp macro="" textlink="">
          <xdr:nvSpPr>
            <xdr:cNvPr id="146" name="ZoneTexte 110">
              <a:hlinkClick xmlns:r="http://schemas.openxmlformats.org/officeDocument/2006/relationships" r:id="rId20" tooltip="Show details"/>
              <a:extLst>
                <a:ext uri="{FF2B5EF4-FFF2-40B4-BE49-F238E27FC236}">
                  <a16:creationId xmlns:a16="http://schemas.microsoft.com/office/drawing/2014/main" id="{53213D91-BD2B-427B-CF9A-F2C045D4187E}"/>
                </a:ext>
              </a:extLst>
            </xdr:cNvPr>
            <xdr:cNvSpPr txBox="1"/>
          </xdr:nvSpPr>
          <xdr:spPr>
            <a:xfrm>
              <a:off x="423518" y="1609344"/>
              <a:ext cx="2862624" cy="29294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fr-FR" sz="1400"/>
                <a:t>Credentials in CPM Failed State</a:t>
              </a:r>
            </a:p>
          </xdr:txBody>
        </xdr:sp>
      </xdr:grpSp>
      <xdr:sp macro="" textlink="">
        <xdr:nvSpPr>
          <xdr:cNvPr id="143" name="ZoneTexte 107">
            <a:extLst>
              <a:ext uri="{FF2B5EF4-FFF2-40B4-BE49-F238E27FC236}">
                <a16:creationId xmlns:a16="http://schemas.microsoft.com/office/drawing/2014/main" id="{DB389AD1-E997-2FF8-02F5-D5F27740FF7D}"/>
              </a:ext>
            </a:extLst>
          </xdr:cNvPr>
          <xdr:cNvSpPr txBox="1"/>
        </xdr:nvSpPr>
        <xdr:spPr>
          <a:xfrm>
            <a:off x="762000" y="3943350"/>
            <a:ext cx="2257425" cy="7027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t>Credentials in my safes with CPM failed status with regard to</a:t>
            </a:r>
            <a:r>
              <a:rPr lang="fr-FR" sz="1100" baseline="0"/>
              <a:t> the total number of credentials.</a:t>
            </a:r>
          </a:p>
        </xdr:txBody>
      </xdr:sp>
    </xdr:grpSp>
    <xdr:clientData/>
  </xdr:twoCellAnchor>
  <xdr:twoCellAnchor>
    <xdr:from>
      <xdr:col>0</xdr:col>
      <xdr:colOff>249534</xdr:colOff>
      <xdr:row>101</xdr:row>
      <xdr:rowOff>20120</xdr:rowOff>
    </xdr:from>
    <xdr:to>
      <xdr:col>4</xdr:col>
      <xdr:colOff>396427</xdr:colOff>
      <xdr:row>124</xdr:row>
      <xdr:rowOff>132740</xdr:rowOff>
    </xdr:to>
    <xdr:grpSp>
      <xdr:nvGrpSpPr>
        <xdr:cNvPr id="281" name="Group 280">
          <a:extLst>
            <a:ext uri="{FF2B5EF4-FFF2-40B4-BE49-F238E27FC236}">
              <a16:creationId xmlns:a16="http://schemas.microsoft.com/office/drawing/2014/main" id="{80B9E0E3-4756-05DA-B9BC-FFEE8A0D065C}"/>
            </a:ext>
          </a:extLst>
        </xdr:cNvPr>
        <xdr:cNvGrpSpPr/>
      </xdr:nvGrpSpPr>
      <xdr:grpSpPr>
        <a:xfrm>
          <a:off x="249534" y="20365520"/>
          <a:ext cx="2747218" cy="4494120"/>
          <a:chOff x="249534" y="19567381"/>
          <a:chExt cx="2850312" cy="4300819"/>
        </a:xfrm>
      </xdr:grpSpPr>
      <xdr:graphicFrame macro="">
        <xdr:nvGraphicFramePr>
          <xdr:cNvPr id="150" name="Graphique 108">
            <a:extLst>
              <a:ext uri="{FF2B5EF4-FFF2-40B4-BE49-F238E27FC236}">
                <a16:creationId xmlns:a16="http://schemas.microsoft.com/office/drawing/2014/main" id="{F29D724D-55DB-953A-DAA1-F7061ADF86A7}"/>
              </a:ext>
            </a:extLst>
          </xdr:cNvPr>
          <xdr:cNvGraphicFramePr/>
        </xdr:nvGraphicFramePr>
        <xdr:xfrm>
          <a:off x="435213" y="19752089"/>
          <a:ext cx="2478954" cy="2517762"/>
        </xdr:xfrm>
        <a:graphic>
          <a:graphicData uri="http://schemas.openxmlformats.org/drawingml/2006/chart">
            <c:chart xmlns:c="http://schemas.openxmlformats.org/drawingml/2006/chart" xmlns:r="http://schemas.openxmlformats.org/officeDocument/2006/relationships" r:id="rId21"/>
          </a:graphicData>
        </a:graphic>
      </xdr:graphicFrame>
      <xdr:sp macro="" textlink="data!D31">
        <xdr:nvSpPr>
          <xdr:cNvPr id="151" name="CaixaDeTexto 4">
            <a:extLst>
              <a:ext uri="{FF2B5EF4-FFF2-40B4-BE49-F238E27FC236}">
                <a16:creationId xmlns:a16="http://schemas.microsoft.com/office/drawing/2014/main" id="{47DF30AA-4506-64CB-7D2B-51834E2B10F2}"/>
              </a:ext>
            </a:extLst>
          </xdr:cNvPr>
          <xdr:cNvSpPr txBox="1"/>
        </xdr:nvSpPr>
        <xdr:spPr>
          <a:xfrm>
            <a:off x="783402" y="20475576"/>
            <a:ext cx="1784481" cy="6076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E869DDB7-96E8-4B73-894F-BAECDF32B4B1}" type="TxLink">
              <a:rPr lang="en-US" sz="3600" b="0" i="0" u="none" strike="noStrike">
                <a:solidFill>
                  <a:srgbClr val="C00000"/>
                </a:solidFill>
                <a:latin typeface="Calibri"/>
                <a:cs typeface="Calibri"/>
              </a:rPr>
              <a:pPr algn="ctr"/>
              <a:t>5</a:t>
            </a:fld>
            <a:endParaRPr lang="fr-CA" sz="3600" b="0">
              <a:solidFill>
                <a:srgbClr val="C00000"/>
              </a:solidFill>
            </a:endParaRPr>
          </a:p>
        </xdr:txBody>
      </xdr:sp>
      <xdr:sp macro="" textlink="">
        <xdr:nvSpPr>
          <xdr:cNvPr id="152" name="ZoneTexte 110">
            <a:hlinkClick xmlns:r="http://schemas.openxmlformats.org/officeDocument/2006/relationships" r:id="rId22" tooltip="Show details"/>
            <a:extLst>
              <a:ext uri="{FF2B5EF4-FFF2-40B4-BE49-F238E27FC236}">
                <a16:creationId xmlns:a16="http://schemas.microsoft.com/office/drawing/2014/main" id="{F313AB8B-F0EB-C67F-4001-DF9F6E91C0E0}"/>
              </a:ext>
            </a:extLst>
          </xdr:cNvPr>
          <xdr:cNvSpPr txBox="1"/>
        </xdr:nvSpPr>
        <xdr:spPr>
          <a:xfrm>
            <a:off x="249534" y="19567381"/>
            <a:ext cx="2850312" cy="3234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fr-FR" sz="1400"/>
              <a:t>Remaining Active Users</a:t>
            </a:r>
          </a:p>
        </xdr:txBody>
      </xdr:sp>
      <xdr:sp macro="" textlink="">
        <xdr:nvSpPr>
          <xdr:cNvPr id="149" name="ZoneTexte 107">
            <a:extLst>
              <a:ext uri="{FF2B5EF4-FFF2-40B4-BE49-F238E27FC236}">
                <a16:creationId xmlns:a16="http://schemas.microsoft.com/office/drawing/2014/main" id="{39516854-3483-5608-8C85-0BF9F2ED4B9E}"/>
              </a:ext>
            </a:extLst>
          </xdr:cNvPr>
          <xdr:cNvSpPr txBox="1"/>
        </xdr:nvSpPr>
        <xdr:spPr>
          <a:xfrm>
            <a:off x="555448" y="22117334"/>
            <a:ext cx="2246105" cy="17508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solidFill>
                  <a:schemeClr val="dk1"/>
                </a:solidFill>
                <a:effectLst/>
                <a:latin typeface="+mn-lt"/>
                <a:ea typeface="+mn-ea"/>
                <a:cs typeface="+mn-cs"/>
              </a:rPr>
              <a:t>Users that remain active despite the fact that their owners have left the company and that still have access to my safes.  These users must be deactivated.</a:t>
            </a:r>
            <a:endParaRPr lang="en-US">
              <a:effectLst/>
            </a:endParaRPr>
          </a:p>
        </xdr:txBody>
      </xdr:sp>
      <xdr:sp macro="" textlink="data!F31">
        <xdr:nvSpPr>
          <xdr:cNvPr id="251" name="CaixaDeTexto 4">
            <a:extLst>
              <a:ext uri="{FF2B5EF4-FFF2-40B4-BE49-F238E27FC236}">
                <a16:creationId xmlns:a16="http://schemas.microsoft.com/office/drawing/2014/main" id="{698DB7A6-8AE6-4415-B140-D1595469BF12}"/>
              </a:ext>
            </a:extLst>
          </xdr:cNvPr>
          <xdr:cNvSpPr txBox="1"/>
        </xdr:nvSpPr>
        <xdr:spPr>
          <a:xfrm>
            <a:off x="781014" y="20918498"/>
            <a:ext cx="1789257" cy="6131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9955224E-C8F6-49F5-A17D-9D8544F88EC8}" type="TxLink">
              <a:rPr lang="en-US" sz="1400" b="0" i="0" u="none" strike="noStrike">
                <a:solidFill>
                  <a:srgbClr val="C00000"/>
                </a:solidFill>
                <a:latin typeface="Calibri"/>
                <a:cs typeface="Calibri"/>
              </a:rPr>
              <a:pPr algn="ctr"/>
              <a:t> + 5</a:t>
            </a:fld>
            <a:endParaRPr lang="fr-CA" sz="3200" b="0">
              <a:solidFill>
                <a:srgbClr val="C00000"/>
              </a:solidFill>
            </a:endParaRPr>
          </a:p>
        </xdr:txBody>
      </xdr:sp>
    </xdr:grpSp>
    <xdr:clientData/>
  </xdr:twoCellAnchor>
  <xdr:twoCellAnchor>
    <xdr:from>
      <xdr:col>4</xdr:col>
      <xdr:colOff>590241</xdr:colOff>
      <xdr:row>101</xdr:row>
      <xdr:rowOff>16333</xdr:rowOff>
    </xdr:from>
    <xdr:to>
      <xdr:col>8</xdr:col>
      <xdr:colOff>213238</xdr:colOff>
      <xdr:row>124</xdr:row>
      <xdr:rowOff>136573</xdr:rowOff>
    </xdr:to>
    <xdr:grpSp>
      <xdr:nvGrpSpPr>
        <xdr:cNvPr id="282" name="Group 281">
          <a:extLst>
            <a:ext uri="{FF2B5EF4-FFF2-40B4-BE49-F238E27FC236}">
              <a16:creationId xmlns:a16="http://schemas.microsoft.com/office/drawing/2014/main" id="{3F5078D5-6275-EDE9-0533-F6A64812DFD1}"/>
            </a:ext>
          </a:extLst>
        </xdr:cNvPr>
        <xdr:cNvGrpSpPr/>
      </xdr:nvGrpSpPr>
      <xdr:grpSpPr>
        <a:xfrm>
          <a:off x="3190566" y="20361733"/>
          <a:ext cx="2747197" cy="4501740"/>
          <a:chOff x="3293660" y="19563594"/>
          <a:chExt cx="2872703" cy="4308439"/>
        </a:xfrm>
      </xdr:grpSpPr>
      <xdr:graphicFrame macro="">
        <xdr:nvGraphicFramePr>
          <xdr:cNvPr id="156" name="Graphique 108">
            <a:extLst>
              <a:ext uri="{FF2B5EF4-FFF2-40B4-BE49-F238E27FC236}">
                <a16:creationId xmlns:a16="http://schemas.microsoft.com/office/drawing/2014/main" id="{07121DDC-AAD0-4270-2F7A-8B08A0CA4553}"/>
              </a:ext>
            </a:extLst>
          </xdr:cNvPr>
          <xdr:cNvGraphicFramePr/>
        </xdr:nvGraphicFramePr>
        <xdr:xfrm>
          <a:off x="3476965" y="19748927"/>
          <a:ext cx="2506093" cy="2519042"/>
        </xdr:xfrm>
        <a:graphic>
          <a:graphicData uri="http://schemas.openxmlformats.org/drawingml/2006/chart">
            <c:chart xmlns:c="http://schemas.openxmlformats.org/drawingml/2006/chart" xmlns:r="http://schemas.openxmlformats.org/officeDocument/2006/relationships" r:id="rId23"/>
          </a:graphicData>
        </a:graphic>
      </xdr:graphicFrame>
      <xdr:sp macro="" textlink="data!D32">
        <xdr:nvSpPr>
          <xdr:cNvPr id="157" name="CaixaDeTexto 4">
            <a:extLst>
              <a:ext uri="{FF2B5EF4-FFF2-40B4-BE49-F238E27FC236}">
                <a16:creationId xmlns:a16="http://schemas.microsoft.com/office/drawing/2014/main" id="{2D75D3F4-95F3-39EA-646E-FA27CFF93F2D}"/>
              </a:ext>
            </a:extLst>
          </xdr:cNvPr>
          <xdr:cNvSpPr txBox="1"/>
        </xdr:nvSpPr>
        <xdr:spPr>
          <a:xfrm>
            <a:off x="3826952" y="20475576"/>
            <a:ext cx="1808024" cy="62498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3355133F-13D3-4D64-86C0-D5A6D90907B1}" type="TxLink">
              <a:rPr lang="en-US" sz="3600" b="0" i="0" u="none" strike="noStrike">
                <a:solidFill>
                  <a:srgbClr val="000000"/>
                </a:solidFill>
                <a:latin typeface="Calibri"/>
                <a:cs typeface="Calibri"/>
              </a:rPr>
              <a:pPr algn="ctr"/>
              <a:t>13</a:t>
            </a:fld>
            <a:endParaRPr lang="fr-CA" sz="3600" b="0"/>
          </a:p>
        </xdr:txBody>
      </xdr:sp>
      <xdr:sp macro="" textlink="">
        <xdr:nvSpPr>
          <xdr:cNvPr id="158" name="ZoneTexte 110">
            <a:hlinkClick xmlns:r="http://schemas.openxmlformats.org/officeDocument/2006/relationships" r:id="rId22" tooltip="Show details"/>
            <a:extLst>
              <a:ext uri="{FF2B5EF4-FFF2-40B4-BE49-F238E27FC236}">
                <a16:creationId xmlns:a16="http://schemas.microsoft.com/office/drawing/2014/main" id="{EAFBC276-4DB4-8BD9-280D-2A949FE81C91}"/>
              </a:ext>
            </a:extLst>
          </xdr:cNvPr>
          <xdr:cNvSpPr txBox="1"/>
        </xdr:nvSpPr>
        <xdr:spPr>
          <a:xfrm>
            <a:off x="3293660" y="19563594"/>
            <a:ext cx="2872703" cy="3093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fr-FR" sz="1400"/>
              <a:t>New Credentials without CPM</a:t>
            </a:r>
          </a:p>
        </xdr:txBody>
      </xdr:sp>
      <xdr:sp macro="" textlink="">
        <xdr:nvSpPr>
          <xdr:cNvPr id="155" name="ZoneTexte 107">
            <a:extLst>
              <a:ext uri="{FF2B5EF4-FFF2-40B4-BE49-F238E27FC236}">
                <a16:creationId xmlns:a16="http://schemas.microsoft.com/office/drawing/2014/main" id="{995B6AA6-83F8-F9D5-B15C-5CA88E23F215}"/>
              </a:ext>
            </a:extLst>
          </xdr:cNvPr>
          <xdr:cNvSpPr txBox="1"/>
        </xdr:nvSpPr>
        <xdr:spPr>
          <a:xfrm>
            <a:off x="3604139" y="22113547"/>
            <a:ext cx="2251744" cy="17584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t>New credentials in my safes without CPM with regard to</a:t>
            </a:r>
            <a:r>
              <a:rPr lang="fr-FR" sz="1100" baseline="0"/>
              <a:t> the total number of credentials.</a:t>
            </a:r>
          </a:p>
        </xdr:txBody>
      </xdr:sp>
      <xdr:sp macro="" textlink="data!F32">
        <xdr:nvSpPr>
          <xdr:cNvPr id="253" name="CaixaDeTexto 4">
            <a:extLst>
              <a:ext uri="{FF2B5EF4-FFF2-40B4-BE49-F238E27FC236}">
                <a16:creationId xmlns:a16="http://schemas.microsoft.com/office/drawing/2014/main" id="{16A6B8E6-6598-458B-9237-776BD521C13D}"/>
              </a:ext>
            </a:extLst>
          </xdr:cNvPr>
          <xdr:cNvSpPr txBox="1"/>
        </xdr:nvSpPr>
        <xdr:spPr>
          <a:xfrm>
            <a:off x="3822209" y="20918498"/>
            <a:ext cx="1815604" cy="6216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BBA12D2F-EFD8-4D11-8280-9DBF97784229}" type="TxLink">
              <a:rPr lang="en-US" sz="1400" b="0" i="0" u="none" strike="noStrike">
                <a:solidFill>
                  <a:srgbClr val="C00000"/>
                </a:solidFill>
                <a:latin typeface="Calibri"/>
                <a:cs typeface="Calibri"/>
              </a:rPr>
              <a:pPr algn="ctr"/>
              <a:t> + 0</a:t>
            </a:fld>
            <a:endParaRPr lang="fr-CA" sz="4000" b="0">
              <a:solidFill>
                <a:srgbClr val="C00000"/>
              </a:solidFill>
            </a:endParaRPr>
          </a:p>
        </xdr:txBody>
      </xdr:sp>
    </xdr:grpSp>
    <xdr:clientData/>
  </xdr:twoCellAnchor>
  <xdr:twoCellAnchor>
    <xdr:from>
      <xdr:col>8</xdr:col>
      <xdr:colOff>403262</xdr:colOff>
      <xdr:row>101</xdr:row>
      <xdr:rowOff>16333</xdr:rowOff>
    </xdr:from>
    <xdr:to>
      <xdr:col>12</xdr:col>
      <xdr:colOff>21420</xdr:colOff>
      <xdr:row>124</xdr:row>
      <xdr:rowOff>132763</xdr:rowOff>
    </xdr:to>
    <xdr:grpSp>
      <xdr:nvGrpSpPr>
        <xdr:cNvPr id="283" name="Group 282">
          <a:extLst>
            <a:ext uri="{FF2B5EF4-FFF2-40B4-BE49-F238E27FC236}">
              <a16:creationId xmlns:a16="http://schemas.microsoft.com/office/drawing/2014/main" id="{E014E91F-B6D4-1D4E-994E-DEB10233DC0C}"/>
            </a:ext>
          </a:extLst>
        </xdr:cNvPr>
        <xdr:cNvGrpSpPr/>
      </xdr:nvGrpSpPr>
      <xdr:grpSpPr>
        <a:xfrm>
          <a:off x="6127787" y="20361733"/>
          <a:ext cx="2742358" cy="4497930"/>
          <a:chOff x="6356387" y="19563594"/>
          <a:chExt cx="2867864" cy="4304629"/>
        </a:xfrm>
      </xdr:grpSpPr>
      <xdr:graphicFrame macro="">
        <xdr:nvGraphicFramePr>
          <xdr:cNvPr id="162" name="Graphique 108">
            <a:extLst>
              <a:ext uri="{FF2B5EF4-FFF2-40B4-BE49-F238E27FC236}">
                <a16:creationId xmlns:a16="http://schemas.microsoft.com/office/drawing/2014/main" id="{EF9BB9CF-64D8-1D36-820A-A1A2D8D612FA}"/>
              </a:ext>
            </a:extLst>
          </xdr:cNvPr>
          <xdr:cNvGraphicFramePr/>
        </xdr:nvGraphicFramePr>
        <xdr:xfrm>
          <a:off x="6542239" y="19748645"/>
          <a:ext cx="2492350" cy="2522641"/>
        </xdr:xfrm>
        <a:graphic>
          <a:graphicData uri="http://schemas.openxmlformats.org/drawingml/2006/chart">
            <c:chart xmlns:c="http://schemas.openxmlformats.org/drawingml/2006/chart" xmlns:r="http://schemas.openxmlformats.org/officeDocument/2006/relationships" r:id="rId24"/>
          </a:graphicData>
        </a:graphic>
      </xdr:graphicFrame>
      <xdr:sp macro="" textlink="data!D33">
        <xdr:nvSpPr>
          <xdr:cNvPr id="163" name="CaixaDeTexto 4">
            <a:extLst>
              <a:ext uri="{FF2B5EF4-FFF2-40B4-BE49-F238E27FC236}">
                <a16:creationId xmlns:a16="http://schemas.microsoft.com/office/drawing/2014/main" id="{65EDC81E-FE52-FE2D-DCAA-34C2C1321266}"/>
              </a:ext>
            </a:extLst>
          </xdr:cNvPr>
          <xdr:cNvSpPr txBox="1"/>
        </xdr:nvSpPr>
        <xdr:spPr>
          <a:xfrm>
            <a:off x="6890679" y="20475576"/>
            <a:ext cx="1791660" cy="6259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E0EAE7B1-3A19-4B22-A677-A04659EE83C8}" type="TxLink">
              <a:rPr lang="en-US" sz="3600" b="0" i="0" u="none" strike="noStrike">
                <a:solidFill>
                  <a:srgbClr val="000000"/>
                </a:solidFill>
                <a:latin typeface="Calibri"/>
                <a:cs typeface="Calibri"/>
              </a:rPr>
              <a:pPr algn="ctr"/>
              <a:t>1</a:t>
            </a:fld>
            <a:endParaRPr lang="fr-CA" sz="3600" b="0"/>
          </a:p>
        </xdr:txBody>
      </xdr:sp>
      <xdr:sp macro="" textlink="">
        <xdr:nvSpPr>
          <xdr:cNvPr id="164" name="ZoneTexte 110">
            <a:hlinkClick xmlns:r="http://schemas.openxmlformats.org/officeDocument/2006/relationships" r:id="rId22" tooltip="Show details"/>
            <a:extLst>
              <a:ext uri="{FF2B5EF4-FFF2-40B4-BE49-F238E27FC236}">
                <a16:creationId xmlns:a16="http://schemas.microsoft.com/office/drawing/2014/main" id="{DB18C55A-1284-E035-CB42-6D2C38F98D9B}"/>
              </a:ext>
            </a:extLst>
          </xdr:cNvPr>
          <xdr:cNvSpPr txBox="1"/>
        </xdr:nvSpPr>
        <xdr:spPr>
          <a:xfrm>
            <a:off x="6356387" y="19563594"/>
            <a:ext cx="2867864" cy="3202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fr-FR" sz="1400"/>
              <a:t>Orphaned</a:t>
            </a:r>
            <a:r>
              <a:rPr lang="fr-FR" sz="1400" baseline="0"/>
              <a:t> Users</a:t>
            </a:r>
            <a:endParaRPr lang="fr-FR" sz="1400"/>
          </a:p>
        </xdr:txBody>
      </xdr:sp>
      <xdr:sp macro="" textlink="">
        <xdr:nvSpPr>
          <xdr:cNvPr id="161" name="ZoneTexte 107">
            <a:extLst>
              <a:ext uri="{FF2B5EF4-FFF2-40B4-BE49-F238E27FC236}">
                <a16:creationId xmlns:a16="http://schemas.microsoft.com/office/drawing/2014/main" id="{E3CAA720-BC46-B738-D655-1D3EC91211FD}"/>
              </a:ext>
            </a:extLst>
          </xdr:cNvPr>
          <xdr:cNvSpPr txBox="1"/>
        </xdr:nvSpPr>
        <xdr:spPr>
          <a:xfrm>
            <a:off x="6661446" y="22118907"/>
            <a:ext cx="2252032" cy="17493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solidFill>
                  <a:schemeClr val="dk1"/>
                </a:solidFill>
                <a:effectLst/>
                <a:latin typeface="+mn-lt"/>
                <a:ea typeface="+mn-ea"/>
                <a:cs typeface="+mn-cs"/>
              </a:rPr>
              <a:t>Active users with access</a:t>
            </a:r>
            <a:r>
              <a:rPr lang="fr-FR" sz="1100" baseline="0">
                <a:solidFill>
                  <a:schemeClr val="dk1"/>
                </a:solidFill>
                <a:effectLst/>
                <a:latin typeface="+mn-lt"/>
                <a:ea typeface="+mn-ea"/>
                <a:cs typeface="+mn-cs"/>
              </a:rPr>
              <a:t> to my safe</a:t>
            </a:r>
            <a:r>
              <a:rPr lang="fr-FR" sz="1100">
                <a:solidFill>
                  <a:schemeClr val="dk1"/>
                </a:solidFill>
                <a:effectLst/>
                <a:latin typeface="+mn-lt"/>
                <a:ea typeface="+mn-ea"/>
                <a:cs typeface="+mn-cs"/>
              </a:rPr>
              <a:t> that could not be associated</a:t>
            </a:r>
            <a:r>
              <a:rPr lang="fr-FR" sz="1100" baseline="0">
                <a:solidFill>
                  <a:schemeClr val="dk1"/>
                </a:solidFill>
                <a:effectLst/>
                <a:latin typeface="+mn-lt"/>
                <a:ea typeface="+mn-ea"/>
                <a:cs typeface="+mn-cs"/>
              </a:rPr>
              <a:t> with </a:t>
            </a:r>
            <a:r>
              <a:rPr lang="fr-FR" sz="1100">
                <a:solidFill>
                  <a:schemeClr val="dk1"/>
                </a:solidFill>
                <a:effectLst/>
                <a:latin typeface="+mn-lt"/>
                <a:ea typeface="+mn-ea"/>
                <a:cs typeface="+mn-cs"/>
              </a:rPr>
              <a:t>a person in the human resource databases and are not identified as technical accounts. These users must be reconciled, meaning either matched to a person or identified as a technical account. If not, they must be deactivated or deleted.</a:t>
            </a:r>
            <a:endParaRPr lang="en-US">
              <a:effectLst/>
            </a:endParaRPr>
          </a:p>
        </xdr:txBody>
      </xdr:sp>
      <xdr:sp macro="" textlink="data!F33">
        <xdr:nvSpPr>
          <xdr:cNvPr id="255" name="CaixaDeTexto 4">
            <a:extLst>
              <a:ext uri="{FF2B5EF4-FFF2-40B4-BE49-F238E27FC236}">
                <a16:creationId xmlns:a16="http://schemas.microsoft.com/office/drawing/2014/main" id="{11FE2E3F-2432-455C-A97E-4C4D8660109A}"/>
              </a:ext>
            </a:extLst>
          </xdr:cNvPr>
          <xdr:cNvSpPr txBox="1"/>
        </xdr:nvSpPr>
        <xdr:spPr>
          <a:xfrm>
            <a:off x="6878707" y="20918498"/>
            <a:ext cx="1815604" cy="6177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E9E6BCC1-5F79-4057-A06D-0EB372716AEC}" type="TxLink">
              <a:rPr lang="en-US" sz="1400" b="0" i="0" u="none" strike="noStrike">
                <a:solidFill>
                  <a:srgbClr val="C00000"/>
                </a:solidFill>
                <a:latin typeface="Calibri"/>
                <a:cs typeface="Calibri"/>
              </a:rPr>
              <a:pPr algn="ctr"/>
              <a:t> + 0</a:t>
            </a:fld>
            <a:endParaRPr lang="fr-CA" sz="4800" b="0">
              <a:solidFill>
                <a:srgbClr val="C00000"/>
              </a:solidFill>
            </a:endParaRPr>
          </a:p>
        </xdr:txBody>
      </xdr:sp>
    </xdr:grpSp>
    <xdr:clientData/>
  </xdr:twoCellAnchor>
  <xdr:twoCellAnchor>
    <xdr:from>
      <xdr:col>12</xdr:col>
      <xdr:colOff>209549</xdr:colOff>
      <xdr:row>101</xdr:row>
      <xdr:rowOff>16333</xdr:rowOff>
    </xdr:from>
    <xdr:to>
      <xdr:col>15</xdr:col>
      <xdr:colOff>626911</xdr:colOff>
      <xdr:row>124</xdr:row>
      <xdr:rowOff>134668</xdr:rowOff>
    </xdr:to>
    <xdr:grpSp>
      <xdr:nvGrpSpPr>
        <xdr:cNvPr id="284" name="Group 283">
          <a:extLst>
            <a:ext uri="{FF2B5EF4-FFF2-40B4-BE49-F238E27FC236}">
              <a16:creationId xmlns:a16="http://schemas.microsoft.com/office/drawing/2014/main" id="{1CA0DE8A-10C2-9176-4CBF-B43D524026BC}"/>
            </a:ext>
          </a:extLst>
        </xdr:cNvPr>
        <xdr:cNvGrpSpPr/>
      </xdr:nvGrpSpPr>
      <xdr:grpSpPr>
        <a:xfrm>
          <a:off x="9058274" y="20361733"/>
          <a:ext cx="2760512" cy="4499835"/>
          <a:chOff x="9412380" y="19563594"/>
          <a:chExt cx="2854641" cy="4306534"/>
        </a:xfrm>
      </xdr:grpSpPr>
      <xdr:graphicFrame macro="">
        <xdr:nvGraphicFramePr>
          <xdr:cNvPr id="168" name="Graphique 108">
            <a:extLst>
              <a:ext uri="{FF2B5EF4-FFF2-40B4-BE49-F238E27FC236}">
                <a16:creationId xmlns:a16="http://schemas.microsoft.com/office/drawing/2014/main" id="{F51ACEA7-53C6-3C0F-147E-269BC75AD1C0}"/>
              </a:ext>
            </a:extLst>
          </xdr:cNvPr>
          <xdr:cNvGraphicFramePr/>
        </xdr:nvGraphicFramePr>
        <xdr:xfrm>
          <a:off x="9595003" y="19748848"/>
          <a:ext cx="2498920" cy="2517922"/>
        </xdr:xfrm>
        <a:graphic>
          <a:graphicData uri="http://schemas.openxmlformats.org/drawingml/2006/chart">
            <c:chart xmlns:c="http://schemas.openxmlformats.org/drawingml/2006/chart" xmlns:r="http://schemas.openxmlformats.org/officeDocument/2006/relationships" r:id="rId25"/>
          </a:graphicData>
        </a:graphic>
      </xdr:graphicFrame>
      <xdr:sp macro="" textlink="data!D34">
        <xdr:nvSpPr>
          <xdr:cNvPr id="169" name="CaixaDeTexto 4">
            <a:extLst>
              <a:ext uri="{FF2B5EF4-FFF2-40B4-BE49-F238E27FC236}">
                <a16:creationId xmlns:a16="http://schemas.microsoft.com/office/drawing/2014/main" id="{96D593E0-14DC-3C6F-BDA0-D76154A9721E}"/>
              </a:ext>
            </a:extLst>
          </xdr:cNvPr>
          <xdr:cNvSpPr txBox="1"/>
        </xdr:nvSpPr>
        <xdr:spPr>
          <a:xfrm>
            <a:off x="9943711" y="20475576"/>
            <a:ext cx="1791979" cy="6266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203D3E70-9A57-4DD1-AD73-35EFC237770A}" type="TxLink">
              <a:rPr lang="en-US" sz="3600" b="0" i="0" u="none" strike="noStrike">
                <a:solidFill>
                  <a:srgbClr val="000000"/>
                </a:solidFill>
                <a:latin typeface="Calibri"/>
                <a:cs typeface="Calibri"/>
              </a:rPr>
              <a:pPr algn="ctr"/>
              <a:t>6</a:t>
            </a:fld>
            <a:endParaRPr lang="fr-CA" sz="3600" b="0"/>
          </a:p>
        </xdr:txBody>
      </xdr:sp>
      <xdr:sp macro="" textlink="">
        <xdr:nvSpPr>
          <xdr:cNvPr id="170" name="ZoneTexte 110">
            <a:hlinkClick xmlns:r="http://schemas.openxmlformats.org/officeDocument/2006/relationships" r:id="rId22" tooltip="Show details"/>
            <a:extLst>
              <a:ext uri="{FF2B5EF4-FFF2-40B4-BE49-F238E27FC236}">
                <a16:creationId xmlns:a16="http://schemas.microsoft.com/office/drawing/2014/main" id="{A5E186E9-C18C-C098-4CA4-34E79FB7C898}"/>
              </a:ext>
            </a:extLst>
          </xdr:cNvPr>
          <xdr:cNvSpPr txBox="1"/>
        </xdr:nvSpPr>
        <xdr:spPr>
          <a:xfrm>
            <a:off x="9412380" y="19563594"/>
            <a:ext cx="2854641" cy="5333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fr-FR" sz="1400"/>
              <a:t>Users with Direct Authorization to my Safes</a:t>
            </a:r>
          </a:p>
        </xdr:txBody>
      </xdr:sp>
      <xdr:sp macro="" textlink="">
        <xdr:nvSpPr>
          <xdr:cNvPr id="167" name="ZoneTexte 107">
            <a:extLst>
              <a:ext uri="{FF2B5EF4-FFF2-40B4-BE49-F238E27FC236}">
                <a16:creationId xmlns:a16="http://schemas.microsoft.com/office/drawing/2014/main" id="{11AE0AD9-D4F3-9BE4-DCAC-AD56DFE59CF8}"/>
              </a:ext>
            </a:extLst>
          </xdr:cNvPr>
          <xdr:cNvSpPr txBox="1"/>
        </xdr:nvSpPr>
        <xdr:spPr>
          <a:xfrm>
            <a:off x="9714930" y="22112417"/>
            <a:ext cx="2249541" cy="17577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baseline="0">
                <a:solidFill>
                  <a:schemeClr val="dk1"/>
                </a:solidFill>
                <a:effectLst/>
                <a:latin typeface="+mn-lt"/>
                <a:ea typeface="+mn-ea"/>
                <a:cs typeface="+mn-cs"/>
              </a:rPr>
              <a:t>Active users having some access to my safes without using groups. All authorization to a safe should be provided to users through groups. Discretionary access should be avoided to ensure proper user access management.</a:t>
            </a:r>
            <a:endParaRPr lang="en-US">
              <a:effectLst/>
            </a:endParaRPr>
          </a:p>
        </xdr:txBody>
      </xdr:sp>
      <xdr:sp macro="" textlink="data!F34">
        <xdr:nvSpPr>
          <xdr:cNvPr id="257" name="CaixaDeTexto 4">
            <a:extLst>
              <a:ext uri="{FF2B5EF4-FFF2-40B4-BE49-F238E27FC236}">
                <a16:creationId xmlns:a16="http://schemas.microsoft.com/office/drawing/2014/main" id="{601EBB3A-F358-4DBE-B6C2-DD5B51CEF01A}"/>
              </a:ext>
            </a:extLst>
          </xdr:cNvPr>
          <xdr:cNvSpPr txBox="1"/>
        </xdr:nvSpPr>
        <xdr:spPr>
          <a:xfrm>
            <a:off x="9947138" y="20918498"/>
            <a:ext cx="1794649" cy="6235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696527DD-8FC2-4A22-A4EC-A74CB982E65D}" type="TxLink">
              <a:rPr lang="en-US" sz="1400" b="0" i="0" u="none" strike="noStrike">
                <a:solidFill>
                  <a:srgbClr val="C00000"/>
                </a:solidFill>
                <a:latin typeface="Calibri"/>
                <a:cs typeface="Calibri"/>
              </a:rPr>
              <a:pPr algn="ctr"/>
              <a:t> + 0</a:t>
            </a:fld>
            <a:endParaRPr lang="fr-CA" sz="6000" b="0">
              <a:solidFill>
                <a:srgbClr val="C00000"/>
              </a:solidFill>
            </a:endParaRPr>
          </a:p>
        </xdr:txBody>
      </xdr:sp>
    </xdr:grpSp>
    <xdr:clientData/>
  </xdr:twoCellAnchor>
  <xdr:twoCellAnchor>
    <xdr:from>
      <xdr:col>0</xdr:col>
      <xdr:colOff>249555</xdr:colOff>
      <xdr:row>126</xdr:row>
      <xdr:rowOff>16892</xdr:rowOff>
    </xdr:from>
    <xdr:to>
      <xdr:col>4</xdr:col>
      <xdr:colOff>400217</xdr:colOff>
      <xdr:row>146</xdr:row>
      <xdr:rowOff>137158</xdr:rowOff>
    </xdr:to>
    <xdr:grpSp>
      <xdr:nvGrpSpPr>
        <xdr:cNvPr id="275" name="Group 274">
          <a:extLst>
            <a:ext uri="{FF2B5EF4-FFF2-40B4-BE49-F238E27FC236}">
              <a16:creationId xmlns:a16="http://schemas.microsoft.com/office/drawing/2014/main" id="{604273E2-A46B-9C2C-73BC-02CBE449EB61}"/>
            </a:ext>
          </a:extLst>
        </xdr:cNvPr>
        <xdr:cNvGrpSpPr/>
      </xdr:nvGrpSpPr>
      <xdr:grpSpPr>
        <a:xfrm>
          <a:off x="249555" y="25124792"/>
          <a:ext cx="2750987" cy="3930266"/>
          <a:chOff x="249555" y="24116545"/>
          <a:chExt cx="2854081" cy="3762286"/>
        </a:xfrm>
      </xdr:grpSpPr>
      <xdr:graphicFrame macro="">
        <xdr:nvGraphicFramePr>
          <xdr:cNvPr id="174" name="Graphique 108">
            <a:extLst>
              <a:ext uri="{FF2B5EF4-FFF2-40B4-BE49-F238E27FC236}">
                <a16:creationId xmlns:a16="http://schemas.microsoft.com/office/drawing/2014/main" id="{EA8EC32F-ADE8-C43F-DF37-36332581EE8A}"/>
              </a:ext>
            </a:extLst>
          </xdr:cNvPr>
          <xdr:cNvGraphicFramePr/>
        </xdr:nvGraphicFramePr>
        <xdr:xfrm>
          <a:off x="429760" y="24301954"/>
          <a:ext cx="2484145" cy="2644033"/>
        </xdr:xfrm>
        <a:graphic>
          <a:graphicData uri="http://schemas.openxmlformats.org/drawingml/2006/chart">
            <c:chart xmlns:c="http://schemas.openxmlformats.org/drawingml/2006/chart" xmlns:r="http://schemas.openxmlformats.org/officeDocument/2006/relationships" r:id="rId26"/>
          </a:graphicData>
        </a:graphic>
      </xdr:graphicFrame>
      <xdr:sp macro="" textlink="data!D35">
        <xdr:nvSpPr>
          <xdr:cNvPr id="175" name="CaixaDeTexto 4">
            <a:extLst>
              <a:ext uri="{FF2B5EF4-FFF2-40B4-BE49-F238E27FC236}">
                <a16:creationId xmlns:a16="http://schemas.microsoft.com/office/drawing/2014/main" id="{6B13938F-1601-CD8F-5BA2-CD739A994637}"/>
              </a:ext>
            </a:extLst>
          </xdr:cNvPr>
          <xdr:cNvSpPr txBox="1"/>
        </xdr:nvSpPr>
        <xdr:spPr>
          <a:xfrm>
            <a:off x="780317" y="25105249"/>
            <a:ext cx="1786841" cy="6245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F7789DD2-2406-47F2-BE18-C9EE9E82BD86}" type="TxLink">
              <a:rPr lang="en-US" sz="3600" b="0" i="0" u="none" strike="noStrike">
                <a:solidFill>
                  <a:srgbClr val="000000"/>
                </a:solidFill>
                <a:latin typeface="Calibri"/>
                <a:cs typeface="Calibri"/>
              </a:rPr>
              <a:pPr algn="ctr"/>
              <a:t>34</a:t>
            </a:fld>
            <a:endParaRPr lang="fr-CA" sz="3600" b="0"/>
          </a:p>
        </xdr:txBody>
      </xdr:sp>
      <xdr:sp macro="" textlink="">
        <xdr:nvSpPr>
          <xdr:cNvPr id="176" name="ZoneTexte 110">
            <a:hlinkClick xmlns:r="http://schemas.openxmlformats.org/officeDocument/2006/relationships" r:id="rId22" tooltip="Show details"/>
            <a:extLst>
              <a:ext uri="{FF2B5EF4-FFF2-40B4-BE49-F238E27FC236}">
                <a16:creationId xmlns:a16="http://schemas.microsoft.com/office/drawing/2014/main" id="{B4C37E1C-D0B7-5E68-C481-04952ED570DA}"/>
              </a:ext>
            </a:extLst>
          </xdr:cNvPr>
          <xdr:cNvSpPr txBox="1"/>
        </xdr:nvSpPr>
        <xdr:spPr>
          <a:xfrm>
            <a:off x="249555" y="24116545"/>
            <a:ext cx="2854081" cy="55118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fr-FR" sz="1400"/>
              <a:t>Users that Can Manage</a:t>
            </a:r>
            <a:r>
              <a:rPr lang="fr-FR" sz="1400" baseline="0"/>
              <a:t> my Safes and Use Their Credentials</a:t>
            </a:r>
            <a:endParaRPr lang="fr-FR" sz="1400"/>
          </a:p>
        </xdr:txBody>
      </xdr:sp>
      <xdr:sp macro="" textlink="">
        <xdr:nvSpPr>
          <xdr:cNvPr id="173" name="ZoneTexte 107">
            <a:extLst>
              <a:ext uri="{FF2B5EF4-FFF2-40B4-BE49-F238E27FC236}">
                <a16:creationId xmlns:a16="http://schemas.microsoft.com/office/drawing/2014/main" id="{AF6BB7F2-AC7A-59E3-F508-7880F9FF3CF6}"/>
              </a:ext>
            </a:extLst>
          </xdr:cNvPr>
          <xdr:cNvSpPr txBox="1"/>
        </xdr:nvSpPr>
        <xdr:spPr>
          <a:xfrm>
            <a:off x="551251" y="26782995"/>
            <a:ext cx="2250688" cy="10958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t>Users that can both manage my safes</a:t>
            </a:r>
            <a:r>
              <a:rPr lang="fr-FR" sz="1100" baseline="0"/>
              <a:t> and use their credentials </a:t>
            </a:r>
            <a:r>
              <a:rPr lang="fr-FR" sz="1100">
                <a:solidFill>
                  <a:schemeClr val="dk1"/>
                </a:solidFill>
                <a:effectLst/>
                <a:latin typeface="+mn-lt"/>
                <a:ea typeface="+mn-ea"/>
                <a:cs typeface="+mn-cs"/>
              </a:rPr>
              <a:t>with regard to the total number of users</a:t>
            </a:r>
            <a:r>
              <a:rPr lang="fr-FR" sz="1100" baseline="0">
                <a:solidFill>
                  <a:schemeClr val="dk1"/>
                </a:solidFill>
                <a:effectLst/>
                <a:latin typeface="+mn-lt"/>
                <a:ea typeface="+mn-ea"/>
                <a:cs typeface="+mn-cs"/>
              </a:rPr>
              <a:t>.</a:t>
            </a:r>
            <a:endParaRPr lang="fr-FR" sz="1100" baseline="0"/>
          </a:p>
        </xdr:txBody>
      </xdr:sp>
      <xdr:sp macro="" textlink="data!F35">
        <xdr:nvSpPr>
          <xdr:cNvPr id="258" name="CaixaDeTexto 4">
            <a:extLst>
              <a:ext uri="{FF2B5EF4-FFF2-40B4-BE49-F238E27FC236}">
                <a16:creationId xmlns:a16="http://schemas.microsoft.com/office/drawing/2014/main" id="{7F04CA75-C5C6-4330-9273-EEB9F3FF070F}"/>
              </a:ext>
            </a:extLst>
          </xdr:cNvPr>
          <xdr:cNvSpPr txBox="1"/>
        </xdr:nvSpPr>
        <xdr:spPr>
          <a:xfrm>
            <a:off x="770698" y="25511200"/>
            <a:ext cx="1806079" cy="6139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3DF6240F-6575-49C7-8517-05D36281FD93}" type="TxLink">
              <a:rPr lang="en-US" sz="1400" b="0" i="0" u="none" strike="noStrike">
                <a:solidFill>
                  <a:srgbClr val="C00000"/>
                </a:solidFill>
                <a:latin typeface="Calibri"/>
                <a:cs typeface="Calibri"/>
              </a:rPr>
              <a:pPr algn="ctr"/>
              <a:t> + 23</a:t>
            </a:fld>
            <a:endParaRPr lang="fr-CA" sz="7200" b="0">
              <a:solidFill>
                <a:srgbClr val="C00000"/>
              </a:solidFill>
            </a:endParaRPr>
          </a:p>
        </xdr:txBody>
      </xdr:sp>
    </xdr:grpSp>
    <xdr:clientData/>
  </xdr:twoCellAnchor>
  <xdr:twoCellAnchor>
    <xdr:from>
      <xdr:col>4</xdr:col>
      <xdr:colOff>592791</xdr:colOff>
      <xdr:row>126</xdr:row>
      <xdr:rowOff>16892</xdr:rowOff>
    </xdr:from>
    <xdr:to>
      <xdr:col>8</xdr:col>
      <xdr:colOff>206243</xdr:colOff>
      <xdr:row>146</xdr:row>
      <xdr:rowOff>121919</xdr:rowOff>
    </xdr:to>
    <xdr:grpSp>
      <xdr:nvGrpSpPr>
        <xdr:cNvPr id="276" name="Group 275">
          <a:extLst>
            <a:ext uri="{FF2B5EF4-FFF2-40B4-BE49-F238E27FC236}">
              <a16:creationId xmlns:a16="http://schemas.microsoft.com/office/drawing/2014/main" id="{5C4F211F-989D-4739-CE8A-766E91407237}"/>
            </a:ext>
          </a:extLst>
        </xdr:cNvPr>
        <xdr:cNvGrpSpPr/>
      </xdr:nvGrpSpPr>
      <xdr:grpSpPr>
        <a:xfrm>
          <a:off x="3193116" y="25124792"/>
          <a:ext cx="2737652" cy="3915027"/>
          <a:chOff x="3296210" y="24116545"/>
          <a:chExt cx="2863158" cy="3747044"/>
        </a:xfrm>
      </xdr:grpSpPr>
      <xdr:graphicFrame macro="">
        <xdr:nvGraphicFramePr>
          <xdr:cNvPr id="180" name="Graphique 108">
            <a:extLst>
              <a:ext uri="{FF2B5EF4-FFF2-40B4-BE49-F238E27FC236}">
                <a16:creationId xmlns:a16="http://schemas.microsoft.com/office/drawing/2014/main" id="{E3FEF81E-BE59-77D1-64D1-46D693A2E316}"/>
              </a:ext>
            </a:extLst>
          </xdr:cNvPr>
          <xdr:cNvGraphicFramePr/>
        </xdr:nvGraphicFramePr>
        <xdr:xfrm>
          <a:off x="3482713" y="24301043"/>
          <a:ext cx="2490152" cy="2623425"/>
        </xdr:xfrm>
        <a:graphic>
          <a:graphicData uri="http://schemas.openxmlformats.org/drawingml/2006/chart">
            <c:chart xmlns:c="http://schemas.openxmlformats.org/drawingml/2006/chart" xmlns:r="http://schemas.openxmlformats.org/officeDocument/2006/relationships" r:id="rId27"/>
          </a:graphicData>
        </a:graphic>
      </xdr:graphicFrame>
      <xdr:sp macro="" textlink="data!D36">
        <xdr:nvSpPr>
          <xdr:cNvPr id="181" name="CaixaDeTexto 4">
            <a:extLst>
              <a:ext uri="{FF2B5EF4-FFF2-40B4-BE49-F238E27FC236}">
                <a16:creationId xmlns:a16="http://schemas.microsoft.com/office/drawing/2014/main" id="{334DBD69-F59D-59A8-1F51-DDC33FEE2FDB}"/>
              </a:ext>
            </a:extLst>
          </xdr:cNvPr>
          <xdr:cNvSpPr txBox="1"/>
        </xdr:nvSpPr>
        <xdr:spPr>
          <a:xfrm>
            <a:off x="3837243" y="25108355"/>
            <a:ext cx="1781093" cy="6214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8FC92237-5E0A-417C-ABCD-E0469D0EA153}" type="TxLink">
              <a:rPr lang="en-US" sz="3600" b="0" i="0" u="none" strike="noStrike">
                <a:solidFill>
                  <a:srgbClr val="000000"/>
                </a:solidFill>
                <a:latin typeface="Calibri"/>
                <a:cs typeface="Calibri"/>
              </a:rPr>
              <a:pPr algn="ctr"/>
              <a:t>24</a:t>
            </a:fld>
            <a:endParaRPr lang="fr-CA" sz="3600" b="0"/>
          </a:p>
        </xdr:txBody>
      </xdr:sp>
      <xdr:sp macro="" textlink="">
        <xdr:nvSpPr>
          <xdr:cNvPr id="182" name="ZoneTexte 110">
            <a:hlinkClick xmlns:r="http://schemas.openxmlformats.org/officeDocument/2006/relationships" r:id="rId22" tooltip="Show details"/>
            <a:extLst>
              <a:ext uri="{FF2B5EF4-FFF2-40B4-BE49-F238E27FC236}">
                <a16:creationId xmlns:a16="http://schemas.microsoft.com/office/drawing/2014/main" id="{5771A78E-D35E-6875-4A4B-B2083A133F21}"/>
              </a:ext>
            </a:extLst>
          </xdr:cNvPr>
          <xdr:cNvSpPr txBox="1"/>
        </xdr:nvSpPr>
        <xdr:spPr>
          <a:xfrm>
            <a:off x="3296210" y="24116545"/>
            <a:ext cx="2863158" cy="5509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fr-FR" sz="1400"/>
              <a:t>Users that Can Access to</a:t>
            </a:r>
            <a:r>
              <a:rPr lang="fr-FR" sz="1400" baseline="0"/>
              <a:t> the Vault and my Safes</a:t>
            </a:r>
            <a:endParaRPr lang="fr-FR" sz="1400"/>
          </a:p>
        </xdr:txBody>
      </xdr:sp>
      <xdr:sp macro="" textlink="">
        <xdr:nvSpPr>
          <xdr:cNvPr id="179" name="ZoneTexte 107">
            <a:extLst>
              <a:ext uri="{FF2B5EF4-FFF2-40B4-BE49-F238E27FC236}">
                <a16:creationId xmlns:a16="http://schemas.microsoft.com/office/drawing/2014/main" id="{1159E4E9-6ACC-9826-D6A2-08A309BA5AD5}"/>
              </a:ext>
            </a:extLst>
          </xdr:cNvPr>
          <xdr:cNvSpPr txBox="1"/>
        </xdr:nvSpPr>
        <xdr:spPr>
          <a:xfrm>
            <a:off x="3598719" y="26775504"/>
            <a:ext cx="2258140" cy="10880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t>Users that can both access to the vault and to my safes inside the vault with regard to the total number of users</a:t>
            </a:r>
            <a:r>
              <a:rPr lang="fr-FR" sz="1100" baseline="0"/>
              <a:t>.</a:t>
            </a:r>
          </a:p>
        </xdr:txBody>
      </xdr:sp>
      <xdr:sp macro="" textlink="data!F36">
        <xdr:nvSpPr>
          <xdr:cNvPr id="260" name="CaixaDeTexto 4">
            <a:extLst>
              <a:ext uri="{FF2B5EF4-FFF2-40B4-BE49-F238E27FC236}">
                <a16:creationId xmlns:a16="http://schemas.microsoft.com/office/drawing/2014/main" id="{238405D1-7ACA-4542-9B44-48E88516D1BF}"/>
              </a:ext>
            </a:extLst>
          </xdr:cNvPr>
          <xdr:cNvSpPr txBox="1"/>
        </xdr:nvSpPr>
        <xdr:spPr>
          <a:xfrm>
            <a:off x="3828560" y="25511200"/>
            <a:ext cx="1798459" cy="6139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13301188-D17E-4681-851B-F4F1E1CA3A2D}" type="TxLink">
              <a:rPr lang="en-US" sz="1400" b="0" i="0" u="none" strike="noStrike">
                <a:solidFill>
                  <a:srgbClr val="C00000"/>
                </a:solidFill>
                <a:latin typeface="Calibri"/>
                <a:cs typeface="Calibri"/>
              </a:rPr>
              <a:pPr algn="ctr"/>
              <a:t> + 17</a:t>
            </a:fld>
            <a:endParaRPr lang="fr-CA" sz="8800" b="0">
              <a:solidFill>
                <a:srgbClr val="C00000"/>
              </a:solidFill>
            </a:endParaRPr>
          </a:p>
        </xdr:txBody>
      </xdr:sp>
    </xdr:grpSp>
    <xdr:clientData/>
  </xdr:twoCellAnchor>
  <xdr:twoCellAnchor>
    <xdr:from>
      <xdr:col>8</xdr:col>
      <xdr:colOff>398817</xdr:colOff>
      <xdr:row>126</xdr:row>
      <xdr:rowOff>16897</xdr:rowOff>
    </xdr:from>
    <xdr:to>
      <xdr:col>12</xdr:col>
      <xdr:colOff>18880</xdr:colOff>
      <xdr:row>146</xdr:row>
      <xdr:rowOff>99064</xdr:rowOff>
    </xdr:to>
    <xdr:grpSp>
      <xdr:nvGrpSpPr>
        <xdr:cNvPr id="277" name="Group 276">
          <a:extLst>
            <a:ext uri="{FF2B5EF4-FFF2-40B4-BE49-F238E27FC236}">
              <a16:creationId xmlns:a16="http://schemas.microsoft.com/office/drawing/2014/main" id="{9FB36D28-5CB7-B905-D35E-A09A071F97A1}"/>
            </a:ext>
          </a:extLst>
        </xdr:cNvPr>
        <xdr:cNvGrpSpPr/>
      </xdr:nvGrpSpPr>
      <xdr:grpSpPr>
        <a:xfrm>
          <a:off x="6123342" y="25124797"/>
          <a:ext cx="2744263" cy="3892167"/>
          <a:chOff x="6351942" y="24116545"/>
          <a:chExt cx="2869769" cy="3724212"/>
        </a:xfrm>
      </xdr:grpSpPr>
      <xdr:graphicFrame macro="">
        <xdr:nvGraphicFramePr>
          <xdr:cNvPr id="186" name="Graphique 108">
            <a:extLst>
              <a:ext uri="{FF2B5EF4-FFF2-40B4-BE49-F238E27FC236}">
                <a16:creationId xmlns:a16="http://schemas.microsoft.com/office/drawing/2014/main" id="{FFE12C9C-5017-7A0A-1DD3-74B07801B14B}"/>
              </a:ext>
            </a:extLst>
          </xdr:cNvPr>
          <xdr:cNvGraphicFramePr/>
        </xdr:nvGraphicFramePr>
        <xdr:xfrm>
          <a:off x="6544584" y="24300632"/>
          <a:ext cx="2495915" cy="2625178"/>
        </xdr:xfrm>
        <a:graphic>
          <a:graphicData uri="http://schemas.openxmlformats.org/drawingml/2006/chart">
            <c:chart xmlns:c="http://schemas.openxmlformats.org/drawingml/2006/chart" xmlns:r="http://schemas.openxmlformats.org/officeDocument/2006/relationships" r:id="rId28"/>
          </a:graphicData>
        </a:graphic>
      </xdr:graphicFrame>
      <xdr:sp macro="" textlink="data!D37">
        <xdr:nvSpPr>
          <xdr:cNvPr id="187" name="CaixaDeTexto 4">
            <a:extLst>
              <a:ext uri="{FF2B5EF4-FFF2-40B4-BE49-F238E27FC236}">
                <a16:creationId xmlns:a16="http://schemas.microsoft.com/office/drawing/2014/main" id="{EB24013D-8C16-80AB-61EE-1D22ADC9B955}"/>
              </a:ext>
            </a:extLst>
          </xdr:cNvPr>
          <xdr:cNvSpPr txBox="1"/>
        </xdr:nvSpPr>
        <xdr:spPr>
          <a:xfrm>
            <a:off x="6896115" y="25102137"/>
            <a:ext cx="1790947" cy="6276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1AD1CDB5-5454-41E0-9CFA-4D1BFFFCCA82}" type="TxLink">
              <a:rPr lang="en-US" sz="3600" b="0" i="0" u="none" strike="noStrike">
                <a:solidFill>
                  <a:srgbClr val="000000"/>
                </a:solidFill>
                <a:latin typeface="Calibri"/>
                <a:cs typeface="Calibri"/>
              </a:rPr>
              <a:pPr algn="ctr"/>
              <a:t>1</a:t>
            </a:fld>
            <a:endParaRPr lang="fr-CA" sz="3600" b="0"/>
          </a:p>
        </xdr:txBody>
      </xdr:sp>
      <xdr:sp macro="" textlink="">
        <xdr:nvSpPr>
          <xdr:cNvPr id="188" name="ZoneTexte 110">
            <a:hlinkClick xmlns:r="http://schemas.openxmlformats.org/officeDocument/2006/relationships" r:id="rId22" tooltip="Show details"/>
            <a:extLst>
              <a:ext uri="{FF2B5EF4-FFF2-40B4-BE49-F238E27FC236}">
                <a16:creationId xmlns:a16="http://schemas.microsoft.com/office/drawing/2014/main" id="{BF01E4F6-6D61-AAEF-21CF-D9C0BF418A5C}"/>
              </a:ext>
            </a:extLst>
          </xdr:cNvPr>
          <xdr:cNvSpPr txBox="1"/>
        </xdr:nvSpPr>
        <xdr:spPr>
          <a:xfrm>
            <a:off x="6351942" y="24116545"/>
            <a:ext cx="2869769" cy="5477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fr-FR" sz="1400"/>
              <a:t>Contractors who Can</a:t>
            </a:r>
            <a:r>
              <a:rPr lang="fr-FR" sz="1400" baseline="0"/>
              <a:t> Manage my Safes without Expiration</a:t>
            </a:r>
            <a:endParaRPr lang="fr-FR" sz="1400"/>
          </a:p>
        </xdr:txBody>
      </xdr:sp>
      <xdr:sp macro="" textlink="">
        <xdr:nvSpPr>
          <xdr:cNvPr id="185" name="ZoneTexte 107">
            <a:extLst>
              <a:ext uri="{FF2B5EF4-FFF2-40B4-BE49-F238E27FC236}">
                <a16:creationId xmlns:a16="http://schemas.microsoft.com/office/drawing/2014/main" id="{C7CFC659-3D4A-8348-209F-132822B5214E}"/>
              </a:ext>
            </a:extLst>
          </xdr:cNvPr>
          <xdr:cNvSpPr txBox="1"/>
        </xdr:nvSpPr>
        <xdr:spPr>
          <a:xfrm>
            <a:off x="6657202" y="26760392"/>
            <a:ext cx="2263059" cy="10803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t>Contractors with no expiration date that can manage my safes with regard to the total number of contractors</a:t>
            </a:r>
            <a:r>
              <a:rPr lang="fr-FR" sz="1100" baseline="0"/>
              <a:t> accessing my safe</a:t>
            </a:r>
            <a:r>
              <a:rPr lang="fr-FR" sz="1100"/>
              <a:t>.</a:t>
            </a:r>
            <a:endParaRPr lang="fr-FR" sz="1100" baseline="0"/>
          </a:p>
        </xdr:txBody>
      </xdr:sp>
      <xdr:sp macro="" textlink="data!F37">
        <xdr:nvSpPr>
          <xdr:cNvPr id="261" name="CaixaDeTexto 4">
            <a:extLst>
              <a:ext uri="{FF2B5EF4-FFF2-40B4-BE49-F238E27FC236}">
                <a16:creationId xmlns:a16="http://schemas.microsoft.com/office/drawing/2014/main" id="{FBABE954-169A-4E9C-ABEA-AA68440A3E97}"/>
              </a:ext>
            </a:extLst>
          </xdr:cNvPr>
          <xdr:cNvSpPr txBox="1"/>
        </xdr:nvSpPr>
        <xdr:spPr>
          <a:xfrm>
            <a:off x="6895217" y="25511200"/>
            <a:ext cx="1792744" cy="6120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1D9A8EC4-9A38-44E8-9D25-70BD2EBBBACA}" type="TxLink">
              <a:rPr lang="en-US" sz="1400" b="0" i="0" u="none" strike="noStrike">
                <a:solidFill>
                  <a:srgbClr val="C00000"/>
                </a:solidFill>
                <a:latin typeface="Calibri"/>
                <a:cs typeface="Calibri"/>
              </a:rPr>
              <a:pPr algn="ctr"/>
              <a:t> + 1</a:t>
            </a:fld>
            <a:endParaRPr lang="fr-CA" sz="11500" b="0">
              <a:solidFill>
                <a:srgbClr val="C00000"/>
              </a:solidFill>
            </a:endParaRPr>
          </a:p>
        </xdr:txBody>
      </xdr:sp>
    </xdr:grpSp>
    <xdr:clientData/>
  </xdr:twoCellAnchor>
  <xdr:twoCellAnchor>
    <xdr:from>
      <xdr:col>12</xdr:col>
      <xdr:colOff>211454</xdr:colOff>
      <xdr:row>126</xdr:row>
      <xdr:rowOff>16894</xdr:rowOff>
    </xdr:from>
    <xdr:to>
      <xdr:col>15</xdr:col>
      <xdr:colOff>630721</xdr:colOff>
      <xdr:row>146</xdr:row>
      <xdr:rowOff>106680</xdr:rowOff>
    </xdr:to>
    <xdr:grpSp>
      <xdr:nvGrpSpPr>
        <xdr:cNvPr id="278" name="Group 277">
          <a:extLst>
            <a:ext uri="{FF2B5EF4-FFF2-40B4-BE49-F238E27FC236}">
              <a16:creationId xmlns:a16="http://schemas.microsoft.com/office/drawing/2014/main" id="{51ADAC0B-DB8B-DA55-F9E8-247AE2478EAA}"/>
            </a:ext>
          </a:extLst>
        </xdr:cNvPr>
        <xdr:cNvGrpSpPr/>
      </xdr:nvGrpSpPr>
      <xdr:grpSpPr>
        <a:xfrm>
          <a:off x="9060179" y="25124794"/>
          <a:ext cx="2762417" cy="3899786"/>
          <a:chOff x="9414285" y="24116545"/>
          <a:chExt cx="2856546" cy="3731813"/>
        </a:xfrm>
      </xdr:grpSpPr>
      <xdr:graphicFrame macro="">
        <xdr:nvGraphicFramePr>
          <xdr:cNvPr id="192" name="Graphique 108">
            <a:extLst>
              <a:ext uri="{FF2B5EF4-FFF2-40B4-BE49-F238E27FC236}">
                <a16:creationId xmlns:a16="http://schemas.microsoft.com/office/drawing/2014/main" id="{430BF6F7-9373-6A1D-4790-9B7A5EDE7AF4}"/>
              </a:ext>
            </a:extLst>
          </xdr:cNvPr>
          <xdr:cNvGraphicFramePr/>
        </xdr:nvGraphicFramePr>
        <xdr:xfrm>
          <a:off x="9593696" y="24300789"/>
          <a:ext cx="2488199" cy="2627420"/>
        </xdr:xfrm>
        <a:graphic>
          <a:graphicData uri="http://schemas.openxmlformats.org/drawingml/2006/chart">
            <c:chart xmlns:c="http://schemas.openxmlformats.org/drawingml/2006/chart" xmlns:r="http://schemas.openxmlformats.org/officeDocument/2006/relationships" r:id="rId29"/>
          </a:graphicData>
        </a:graphic>
      </xdr:graphicFrame>
      <xdr:sp macro="" textlink="data!D38">
        <xdr:nvSpPr>
          <xdr:cNvPr id="193" name="CaixaDeTexto 4">
            <a:extLst>
              <a:ext uri="{FF2B5EF4-FFF2-40B4-BE49-F238E27FC236}">
                <a16:creationId xmlns:a16="http://schemas.microsoft.com/office/drawing/2014/main" id="{0E165FE3-AD79-C361-DB28-3EA3AFA4845F}"/>
              </a:ext>
            </a:extLst>
          </xdr:cNvPr>
          <xdr:cNvSpPr txBox="1"/>
        </xdr:nvSpPr>
        <xdr:spPr>
          <a:xfrm>
            <a:off x="9948366" y="25101601"/>
            <a:ext cx="1788384" cy="6282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693223A0-DDEF-42A4-8A3A-5EB67AFC8006}" type="TxLink">
              <a:rPr lang="en-US" sz="3600" b="0" i="0" u="none" strike="noStrike">
                <a:solidFill>
                  <a:srgbClr val="000000"/>
                </a:solidFill>
                <a:latin typeface="Calibri"/>
                <a:cs typeface="Calibri"/>
              </a:rPr>
              <a:pPr algn="ctr"/>
              <a:t>1</a:t>
            </a:fld>
            <a:endParaRPr lang="fr-CA" sz="3600" b="0"/>
          </a:p>
        </xdr:txBody>
      </xdr:sp>
      <xdr:sp macro="" textlink="">
        <xdr:nvSpPr>
          <xdr:cNvPr id="194" name="ZoneTexte 110">
            <a:hlinkClick xmlns:r="http://schemas.openxmlformats.org/officeDocument/2006/relationships" r:id="rId22" tooltip="Show details"/>
            <a:extLst>
              <a:ext uri="{FF2B5EF4-FFF2-40B4-BE49-F238E27FC236}">
                <a16:creationId xmlns:a16="http://schemas.microsoft.com/office/drawing/2014/main" id="{685A54B0-DF34-E8C4-7C84-BE6DA03712E4}"/>
              </a:ext>
            </a:extLst>
          </xdr:cNvPr>
          <xdr:cNvSpPr txBox="1"/>
        </xdr:nvSpPr>
        <xdr:spPr>
          <a:xfrm>
            <a:off x="9414285" y="24116545"/>
            <a:ext cx="2856546" cy="5482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fr-FR" sz="1400"/>
              <a:t>Contractors who Can</a:t>
            </a:r>
            <a:r>
              <a:rPr lang="fr-FR" sz="1400" baseline="0"/>
              <a:t> Use my Credentials without Expiration</a:t>
            </a:r>
            <a:endParaRPr lang="fr-FR" sz="1400"/>
          </a:p>
        </xdr:txBody>
      </xdr:sp>
      <xdr:sp macro="" textlink="">
        <xdr:nvSpPr>
          <xdr:cNvPr id="191" name="ZoneTexte 107">
            <a:extLst>
              <a:ext uri="{FF2B5EF4-FFF2-40B4-BE49-F238E27FC236}">
                <a16:creationId xmlns:a16="http://schemas.microsoft.com/office/drawing/2014/main" id="{ECC15B3B-871A-D72D-75C3-B7BAFDB555BA}"/>
              </a:ext>
            </a:extLst>
          </xdr:cNvPr>
          <xdr:cNvSpPr txBox="1"/>
        </xdr:nvSpPr>
        <xdr:spPr>
          <a:xfrm>
            <a:off x="9716242" y="26762652"/>
            <a:ext cx="2245012" cy="10857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t>Contractors with no expiration date that can use credentials inside my safes with regard to the total number of contractors</a:t>
            </a:r>
            <a:r>
              <a:rPr lang="fr-FR" sz="1100" baseline="0"/>
              <a:t> accessing my safe</a:t>
            </a:r>
            <a:r>
              <a:rPr lang="fr-FR" sz="1100"/>
              <a:t>.</a:t>
            </a:r>
            <a:endParaRPr lang="fr-FR" sz="1100" baseline="0"/>
          </a:p>
        </xdr:txBody>
      </xdr:sp>
      <xdr:sp macro="" textlink="data!F38">
        <xdr:nvSpPr>
          <xdr:cNvPr id="262" name="CaixaDeTexto 4">
            <a:extLst>
              <a:ext uri="{FF2B5EF4-FFF2-40B4-BE49-F238E27FC236}">
                <a16:creationId xmlns:a16="http://schemas.microsoft.com/office/drawing/2014/main" id="{0B8572D2-DD02-458E-ABDB-C7061A4729AF}"/>
              </a:ext>
            </a:extLst>
          </xdr:cNvPr>
          <xdr:cNvSpPr txBox="1"/>
        </xdr:nvSpPr>
        <xdr:spPr>
          <a:xfrm>
            <a:off x="9947139" y="25511200"/>
            <a:ext cx="1790839" cy="61017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4ED3D6BD-BDB1-40DB-B3DF-57AFF78A9F6C}" type="TxLink">
              <a:rPr lang="en-US" sz="1400" b="0" i="0" u="none" strike="noStrike">
                <a:solidFill>
                  <a:srgbClr val="C00000"/>
                </a:solidFill>
                <a:latin typeface="Calibri"/>
                <a:cs typeface="Calibri"/>
              </a:rPr>
              <a:pPr algn="ctr"/>
              <a:t> + 1</a:t>
            </a:fld>
            <a:endParaRPr lang="fr-CA" sz="16600" b="0">
              <a:solidFill>
                <a:srgbClr val="C00000"/>
              </a:solidFill>
            </a:endParaRPr>
          </a:p>
        </xdr:txBody>
      </xdr:sp>
    </xdr:grpSp>
    <xdr:clientData/>
  </xdr:twoCellAnchor>
  <xdr:twoCellAnchor>
    <xdr:from>
      <xdr:col>0</xdr:col>
      <xdr:colOff>249555</xdr:colOff>
      <xdr:row>150</xdr:row>
      <xdr:rowOff>173129</xdr:rowOff>
    </xdr:from>
    <xdr:to>
      <xdr:col>4</xdr:col>
      <xdr:colOff>396407</xdr:colOff>
      <xdr:row>171</xdr:row>
      <xdr:rowOff>114299</xdr:rowOff>
    </xdr:to>
    <xdr:grpSp>
      <xdr:nvGrpSpPr>
        <xdr:cNvPr id="271" name="Group 270">
          <a:extLst>
            <a:ext uri="{FF2B5EF4-FFF2-40B4-BE49-F238E27FC236}">
              <a16:creationId xmlns:a16="http://schemas.microsoft.com/office/drawing/2014/main" id="{25F73E08-B4FA-E57F-6BF2-0CBE6A41DF1C}"/>
            </a:ext>
          </a:extLst>
        </xdr:cNvPr>
        <xdr:cNvGrpSpPr/>
      </xdr:nvGrpSpPr>
      <xdr:grpSpPr>
        <a:xfrm>
          <a:off x="249555" y="29929229"/>
          <a:ext cx="2747177" cy="3941670"/>
          <a:chOff x="249555" y="28727119"/>
          <a:chExt cx="2850271" cy="3765145"/>
        </a:xfrm>
      </xdr:grpSpPr>
      <xdr:graphicFrame macro="">
        <xdr:nvGraphicFramePr>
          <xdr:cNvPr id="198" name="Graphique 108">
            <a:extLst>
              <a:ext uri="{FF2B5EF4-FFF2-40B4-BE49-F238E27FC236}">
                <a16:creationId xmlns:a16="http://schemas.microsoft.com/office/drawing/2014/main" id="{C1F83571-BAA3-8EE3-276D-57FDB3E2F2DC}"/>
              </a:ext>
            </a:extLst>
          </xdr:cNvPr>
          <xdr:cNvGraphicFramePr/>
        </xdr:nvGraphicFramePr>
        <xdr:xfrm>
          <a:off x="448633" y="28904260"/>
          <a:ext cx="2495086" cy="2520408"/>
        </xdr:xfrm>
        <a:graphic>
          <a:graphicData uri="http://schemas.openxmlformats.org/drawingml/2006/chart">
            <c:chart xmlns:c="http://schemas.openxmlformats.org/drawingml/2006/chart" xmlns:r="http://schemas.openxmlformats.org/officeDocument/2006/relationships" r:id="rId30"/>
          </a:graphicData>
        </a:graphic>
      </xdr:graphicFrame>
      <xdr:sp macro="" textlink="data!D39">
        <xdr:nvSpPr>
          <xdr:cNvPr id="199" name="CaixaDeTexto 4">
            <a:extLst>
              <a:ext uri="{FF2B5EF4-FFF2-40B4-BE49-F238E27FC236}">
                <a16:creationId xmlns:a16="http://schemas.microsoft.com/office/drawing/2014/main" id="{460ACE59-470F-F427-AF6F-5A2076A0045F}"/>
              </a:ext>
            </a:extLst>
          </xdr:cNvPr>
          <xdr:cNvSpPr txBox="1"/>
        </xdr:nvSpPr>
        <xdr:spPr>
          <a:xfrm>
            <a:off x="817376" y="29557861"/>
            <a:ext cx="1781606" cy="6077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30562DAA-0562-49FC-A926-7514D4D8B062}" type="TxLink">
              <a:rPr lang="en-US" sz="3600" b="0" i="0" u="none" strike="noStrike">
                <a:solidFill>
                  <a:srgbClr val="000000"/>
                </a:solidFill>
                <a:latin typeface="Calibri"/>
                <a:cs typeface="Calibri"/>
              </a:rPr>
              <a:pPr algn="ctr"/>
              <a:t>9</a:t>
            </a:fld>
            <a:endParaRPr lang="fr-CA" sz="3600" b="0"/>
          </a:p>
        </xdr:txBody>
      </xdr:sp>
      <xdr:sp macro="" textlink="">
        <xdr:nvSpPr>
          <xdr:cNvPr id="200" name="ZoneTexte 110">
            <a:hlinkClick xmlns:r="http://schemas.openxmlformats.org/officeDocument/2006/relationships" r:id="rId22" tooltip="Show details"/>
            <a:extLst>
              <a:ext uri="{FF2B5EF4-FFF2-40B4-BE49-F238E27FC236}">
                <a16:creationId xmlns:a16="http://schemas.microsoft.com/office/drawing/2014/main" id="{37F7137A-1E08-F279-DCD8-1F291B6DCFF3}"/>
              </a:ext>
            </a:extLst>
          </xdr:cNvPr>
          <xdr:cNvSpPr txBox="1"/>
        </xdr:nvSpPr>
        <xdr:spPr>
          <a:xfrm>
            <a:off x="249555" y="28727119"/>
            <a:ext cx="2850271" cy="3178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fr-FR" sz="1400"/>
              <a:t>Dormant Active Users</a:t>
            </a:r>
          </a:p>
        </xdr:txBody>
      </xdr:sp>
      <xdr:sp macro="" textlink="">
        <xdr:nvSpPr>
          <xdr:cNvPr id="197" name="ZoneTexte 107">
            <a:extLst>
              <a:ext uri="{FF2B5EF4-FFF2-40B4-BE49-F238E27FC236}">
                <a16:creationId xmlns:a16="http://schemas.microsoft.com/office/drawing/2014/main" id="{C762F924-8DDE-942C-CE52-0CE32E6EBA20}"/>
              </a:ext>
            </a:extLst>
          </xdr:cNvPr>
          <xdr:cNvSpPr txBox="1"/>
        </xdr:nvSpPr>
        <xdr:spPr>
          <a:xfrm>
            <a:off x="590386" y="31276466"/>
            <a:ext cx="2247684" cy="12157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solidFill>
                  <a:schemeClr val="dk1"/>
                </a:solidFill>
                <a:effectLst/>
                <a:latin typeface="+mn-lt"/>
                <a:ea typeface="+mn-ea"/>
                <a:cs typeface="+mn-cs"/>
              </a:rPr>
              <a:t>Dormant users giving access to my safe are defined as users which have not been used for more than 180 days or which have never been used.</a:t>
            </a:r>
            <a:endParaRPr lang="en-US">
              <a:effectLst/>
            </a:endParaRPr>
          </a:p>
        </xdr:txBody>
      </xdr:sp>
      <xdr:sp macro="" textlink="data!F39">
        <xdr:nvSpPr>
          <xdr:cNvPr id="263" name="CaixaDeTexto 4">
            <a:extLst>
              <a:ext uri="{FF2B5EF4-FFF2-40B4-BE49-F238E27FC236}">
                <a16:creationId xmlns:a16="http://schemas.microsoft.com/office/drawing/2014/main" id="{417A267A-8092-4E6D-AEF6-AD3E8228D1C9}"/>
              </a:ext>
            </a:extLst>
          </xdr:cNvPr>
          <xdr:cNvSpPr txBox="1"/>
        </xdr:nvSpPr>
        <xdr:spPr>
          <a:xfrm>
            <a:off x="752587" y="30056586"/>
            <a:ext cx="1807984" cy="6025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DAC61659-2BDF-4239-923F-5BCB280C0D48}" type="TxLink">
              <a:rPr lang="en-US" sz="1400" b="0" i="0" u="none" strike="noStrike">
                <a:solidFill>
                  <a:srgbClr val="C00000"/>
                </a:solidFill>
                <a:latin typeface="Calibri"/>
                <a:cs typeface="Calibri"/>
              </a:rPr>
              <a:pPr algn="ctr"/>
              <a:t> + 4</a:t>
            </a:fld>
            <a:endParaRPr lang="fr-CA" sz="16600" b="0">
              <a:solidFill>
                <a:srgbClr val="C00000"/>
              </a:solidFill>
            </a:endParaRPr>
          </a:p>
        </xdr:txBody>
      </xdr:sp>
    </xdr:grpSp>
    <xdr:clientData/>
  </xdr:twoCellAnchor>
  <xdr:twoCellAnchor>
    <xdr:from>
      <xdr:col>4</xdr:col>
      <xdr:colOff>590886</xdr:colOff>
      <xdr:row>150</xdr:row>
      <xdr:rowOff>169324</xdr:rowOff>
    </xdr:from>
    <xdr:to>
      <xdr:col>8</xdr:col>
      <xdr:colOff>210053</xdr:colOff>
      <xdr:row>171</xdr:row>
      <xdr:rowOff>114305</xdr:rowOff>
    </xdr:to>
    <xdr:grpSp>
      <xdr:nvGrpSpPr>
        <xdr:cNvPr id="272" name="Group 271">
          <a:extLst>
            <a:ext uri="{FF2B5EF4-FFF2-40B4-BE49-F238E27FC236}">
              <a16:creationId xmlns:a16="http://schemas.microsoft.com/office/drawing/2014/main" id="{B5ABED36-76B1-CDF1-3FB4-50BEFC95A069}"/>
            </a:ext>
          </a:extLst>
        </xdr:cNvPr>
        <xdr:cNvGrpSpPr/>
      </xdr:nvGrpSpPr>
      <xdr:grpSpPr>
        <a:xfrm>
          <a:off x="3191211" y="29925424"/>
          <a:ext cx="2743367" cy="3945481"/>
          <a:chOff x="3294305" y="28723309"/>
          <a:chExt cx="2868873" cy="3768946"/>
        </a:xfrm>
      </xdr:grpSpPr>
      <xdr:sp macro="" textlink="data!D40">
        <xdr:nvSpPr>
          <xdr:cNvPr id="205" name="CaixaDeTexto 4">
            <a:extLst>
              <a:ext uri="{FF2B5EF4-FFF2-40B4-BE49-F238E27FC236}">
                <a16:creationId xmlns:a16="http://schemas.microsoft.com/office/drawing/2014/main" id="{666DA807-5B17-46CC-BE8C-11840D99C7BC}"/>
              </a:ext>
            </a:extLst>
          </xdr:cNvPr>
          <xdr:cNvSpPr txBox="1"/>
        </xdr:nvSpPr>
        <xdr:spPr>
          <a:xfrm>
            <a:off x="3847725" y="29557861"/>
            <a:ext cx="1805626" cy="6182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52B3F627-FBC8-4D49-9710-75F15B0BEAFF}" type="TxLink">
              <a:rPr lang="en-US" sz="3600" b="0" i="0" u="none" strike="noStrike">
                <a:solidFill>
                  <a:srgbClr val="000000"/>
                </a:solidFill>
                <a:latin typeface="Calibri"/>
                <a:cs typeface="Calibri"/>
              </a:rPr>
              <a:pPr algn="ctr"/>
              <a:t>0</a:t>
            </a:fld>
            <a:endParaRPr lang="fr-CA" sz="3600" b="0"/>
          </a:p>
        </xdr:txBody>
      </xdr:sp>
      <xdr:sp macro="" textlink="">
        <xdr:nvSpPr>
          <xdr:cNvPr id="206" name="ZoneTexte 110">
            <a:hlinkClick xmlns:r="http://schemas.openxmlformats.org/officeDocument/2006/relationships" r:id="rId22" tooltip="Show details"/>
            <a:extLst>
              <a:ext uri="{FF2B5EF4-FFF2-40B4-BE49-F238E27FC236}">
                <a16:creationId xmlns:a16="http://schemas.microsoft.com/office/drawing/2014/main" id="{3061BC2F-DA8A-994E-6A11-996520C5760E}"/>
              </a:ext>
            </a:extLst>
          </xdr:cNvPr>
          <xdr:cNvSpPr txBox="1"/>
        </xdr:nvSpPr>
        <xdr:spPr>
          <a:xfrm>
            <a:off x="3294305" y="28723309"/>
            <a:ext cx="2868873" cy="3268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fr-FR" sz="1400"/>
              <a:t>Disabled Users</a:t>
            </a:r>
          </a:p>
        </xdr:txBody>
      </xdr:sp>
      <xdr:sp macro="" textlink="">
        <xdr:nvSpPr>
          <xdr:cNvPr id="203" name="ZoneTexte 107">
            <a:extLst>
              <a:ext uri="{FF2B5EF4-FFF2-40B4-BE49-F238E27FC236}">
                <a16:creationId xmlns:a16="http://schemas.microsoft.com/office/drawing/2014/main" id="{4D1CB3B1-737B-0C57-19E5-488CAF1A06A0}"/>
              </a:ext>
            </a:extLst>
          </xdr:cNvPr>
          <xdr:cNvSpPr txBox="1"/>
        </xdr:nvSpPr>
        <xdr:spPr>
          <a:xfrm>
            <a:off x="3633526" y="31273785"/>
            <a:ext cx="2260448" cy="12184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solidFill>
                  <a:schemeClr val="dk1"/>
                </a:solidFill>
                <a:effectLst/>
                <a:latin typeface="+mn-lt"/>
                <a:ea typeface="+mn-ea"/>
                <a:cs typeface="+mn-cs"/>
              </a:rPr>
              <a:t>Disabled user accounts having access to my safe. Legacy user accounts which are very old can be removed to improve quality.</a:t>
            </a:r>
            <a:endParaRPr lang="en-US">
              <a:effectLst/>
            </a:endParaRPr>
          </a:p>
        </xdr:txBody>
      </xdr:sp>
      <xdr:sp macro="" textlink="data!F40">
        <xdr:nvSpPr>
          <xdr:cNvPr id="264" name="CaixaDeTexto 4">
            <a:extLst>
              <a:ext uri="{FF2B5EF4-FFF2-40B4-BE49-F238E27FC236}">
                <a16:creationId xmlns:a16="http://schemas.microsoft.com/office/drawing/2014/main" id="{121960AE-3EDC-45F2-99B3-2CEDE103F355}"/>
              </a:ext>
            </a:extLst>
          </xdr:cNvPr>
          <xdr:cNvSpPr txBox="1"/>
        </xdr:nvSpPr>
        <xdr:spPr>
          <a:xfrm>
            <a:off x="3840537" y="30056586"/>
            <a:ext cx="1775599" cy="606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85CB8122-2EE2-4694-83A3-787C8297E19E}" type="TxLink">
              <a:rPr lang="en-US" sz="1400" b="0" i="0" u="none" strike="noStrike">
                <a:solidFill>
                  <a:srgbClr val="C00000"/>
                </a:solidFill>
                <a:latin typeface="Calibri"/>
                <a:cs typeface="Calibri"/>
              </a:rPr>
              <a:pPr algn="ctr"/>
              <a:t> + 0</a:t>
            </a:fld>
            <a:endParaRPr lang="fr-CA" sz="16600" b="0">
              <a:solidFill>
                <a:srgbClr val="C00000"/>
              </a:solidFill>
            </a:endParaRPr>
          </a:p>
        </xdr:txBody>
      </xdr:sp>
    </xdr:grpSp>
    <xdr:clientData/>
  </xdr:twoCellAnchor>
  <xdr:twoCellAnchor>
    <xdr:from>
      <xdr:col>8</xdr:col>
      <xdr:colOff>400722</xdr:colOff>
      <xdr:row>150</xdr:row>
      <xdr:rowOff>169319</xdr:rowOff>
    </xdr:from>
    <xdr:to>
      <xdr:col>12</xdr:col>
      <xdr:colOff>20785</xdr:colOff>
      <xdr:row>171</xdr:row>
      <xdr:rowOff>144779</xdr:rowOff>
    </xdr:to>
    <xdr:grpSp>
      <xdr:nvGrpSpPr>
        <xdr:cNvPr id="273" name="Group 272">
          <a:extLst>
            <a:ext uri="{FF2B5EF4-FFF2-40B4-BE49-F238E27FC236}">
              <a16:creationId xmlns:a16="http://schemas.microsoft.com/office/drawing/2014/main" id="{08ED2272-39FE-93E2-84FB-97FC7C286888}"/>
            </a:ext>
          </a:extLst>
        </xdr:cNvPr>
        <xdr:cNvGrpSpPr/>
      </xdr:nvGrpSpPr>
      <xdr:grpSpPr>
        <a:xfrm>
          <a:off x="6125247" y="29925419"/>
          <a:ext cx="2744263" cy="3975960"/>
          <a:chOff x="6353847" y="28723309"/>
          <a:chExt cx="2869769" cy="3799278"/>
        </a:xfrm>
      </xdr:grpSpPr>
      <xdr:graphicFrame macro="">
        <xdr:nvGraphicFramePr>
          <xdr:cNvPr id="210" name="Graphique 108">
            <a:extLst>
              <a:ext uri="{FF2B5EF4-FFF2-40B4-BE49-F238E27FC236}">
                <a16:creationId xmlns:a16="http://schemas.microsoft.com/office/drawing/2014/main" id="{1B50AFF9-CD50-EFF8-8BDA-B193311336C3}"/>
              </a:ext>
            </a:extLst>
          </xdr:cNvPr>
          <xdr:cNvGraphicFramePr/>
        </xdr:nvGraphicFramePr>
        <xdr:xfrm>
          <a:off x="6553776" y="28907806"/>
          <a:ext cx="2499725" cy="2514745"/>
        </xdr:xfrm>
        <a:graphic>
          <a:graphicData uri="http://schemas.openxmlformats.org/drawingml/2006/chart">
            <c:chart xmlns:c="http://schemas.openxmlformats.org/drawingml/2006/chart" xmlns:r="http://schemas.openxmlformats.org/officeDocument/2006/relationships" r:id="rId31"/>
          </a:graphicData>
        </a:graphic>
      </xdr:graphicFrame>
      <xdr:sp macro="" textlink="data!D41">
        <xdr:nvSpPr>
          <xdr:cNvPr id="211" name="CaixaDeTexto 4">
            <a:extLst>
              <a:ext uri="{FF2B5EF4-FFF2-40B4-BE49-F238E27FC236}">
                <a16:creationId xmlns:a16="http://schemas.microsoft.com/office/drawing/2014/main" id="{8F8BD87D-F7EF-85D4-6917-05D077A53874}"/>
              </a:ext>
            </a:extLst>
          </xdr:cNvPr>
          <xdr:cNvSpPr txBox="1"/>
        </xdr:nvSpPr>
        <xdr:spPr>
          <a:xfrm>
            <a:off x="6895338" y="29557861"/>
            <a:ext cx="1800472" cy="6221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4F29E3FF-B49C-4C15-AC24-F950AFC05C95}" type="TxLink">
              <a:rPr lang="en-US" sz="3600" b="0" i="0" u="none" strike="noStrike">
                <a:solidFill>
                  <a:srgbClr val="000000"/>
                </a:solidFill>
                <a:latin typeface="Calibri"/>
                <a:cs typeface="Calibri"/>
              </a:rPr>
              <a:pPr algn="ctr"/>
              <a:t>1</a:t>
            </a:fld>
            <a:endParaRPr lang="fr-CA" sz="3600" b="0"/>
          </a:p>
        </xdr:txBody>
      </xdr:sp>
      <xdr:sp macro="" textlink="">
        <xdr:nvSpPr>
          <xdr:cNvPr id="212" name="ZoneTexte 110">
            <a:hlinkClick xmlns:r="http://schemas.openxmlformats.org/officeDocument/2006/relationships" r:id="rId22" tooltip="Show details"/>
            <a:extLst>
              <a:ext uri="{FF2B5EF4-FFF2-40B4-BE49-F238E27FC236}">
                <a16:creationId xmlns:a16="http://schemas.microsoft.com/office/drawing/2014/main" id="{ED91E2E5-ACC7-EAF2-1D46-0ECB40612968}"/>
              </a:ext>
            </a:extLst>
          </xdr:cNvPr>
          <xdr:cNvSpPr txBox="1"/>
        </xdr:nvSpPr>
        <xdr:spPr>
          <a:xfrm>
            <a:off x="6353847" y="28723309"/>
            <a:ext cx="2869769" cy="5381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fr-FR" sz="1400"/>
              <a:t>Empty Groups Giving Access to my</a:t>
            </a:r>
            <a:r>
              <a:rPr lang="fr-FR" sz="1400" baseline="0"/>
              <a:t> Credential</a:t>
            </a:r>
            <a:r>
              <a:rPr lang="fr-FR" sz="1400"/>
              <a:t>s</a:t>
            </a:r>
          </a:p>
        </xdr:txBody>
      </xdr:sp>
      <xdr:sp macro="" textlink="">
        <xdr:nvSpPr>
          <xdr:cNvPr id="209" name="ZoneTexte 107">
            <a:extLst>
              <a:ext uri="{FF2B5EF4-FFF2-40B4-BE49-F238E27FC236}">
                <a16:creationId xmlns:a16="http://schemas.microsoft.com/office/drawing/2014/main" id="{5318C881-A6A8-5F3D-5D90-6CE2224C5D72}"/>
              </a:ext>
            </a:extLst>
          </xdr:cNvPr>
          <xdr:cNvSpPr txBox="1"/>
        </xdr:nvSpPr>
        <xdr:spPr>
          <a:xfrm>
            <a:off x="6696984" y="31276045"/>
            <a:ext cx="2257344" cy="12465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solidFill>
                  <a:schemeClr val="dk1"/>
                </a:solidFill>
                <a:effectLst/>
                <a:latin typeface="+mn-lt"/>
                <a:ea typeface="+mn-ea"/>
                <a:cs typeface="+mn-cs"/>
              </a:rPr>
              <a:t>Groups that do not contain any member and give access to my safe through useAccount or retrieveAccounts authorizations.</a:t>
            </a:r>
            <a:endParaRPr lang="en-US">
              <a:effectLst/>
            </a:endParaRPr>
          </a:p>
        </xdr:txBody>
      </xdr:sp>
      <xdr:sp macro="" textlink="data!F41">
        <xdr:nvSpPr>
          <xdr:cNvPr id="265" name="CaixaDeTexto 4">
            <a:extLst>
              <a:ext uri="{FF2B5EF4-FFF2-40B4-BE49-F238E27FC236}">
                <a16:creationId xmlns:a16="http://schemas.microsoft.com/office/drawing/2014/main" id="{88F38E45-7949-4DF2-B052-4A6DBE93894F}"/>
              </a:ext>
            </a:extLst>
          </xdr:cNvPr>
          <xdr:cNvSpPr txBox="1"/>
        </xdr:nvSpPr>
        <xdr:spPr>
          <a:xfrm>
            <a:off x="6901816" y="30056586"/>
            <a:ext cx="1794649" cy="5968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DA3DDE00-6AF2-4AFE-8290-CFA82F6F2DAE}" type="TxLink">
              <a:rPr lang="en-US" sz="1400" b="0" i="0" u="none" strike="noStrike">
                <a:solidFill>
                  <a:srgbClr val="C00000"/>
                </a:solidFill>
                <a:latin typeface="Calibri"/>
                <a:cs typeface="Calibri"/>
              </a:rPr>
              <a:pPr algn="ctr"/>
              <a:t> + 0</a:t>
            </a:fld>
            <a:endParaRPr lang="fr-CA" sz="16600" b="0">
              <a:solidFill>
                <a:srgbClr val="C00000"/>
              </a:solidFill>
            </a:endParaRPr>
          </a:p>
        </xdr:txBody>
      </xdr:sp>
    </xdr:grpSp>
    <xdr:clientData/>
  </xdr:twoCellAnchor>
  <xdr:twoCellAnchor>
    <xdr:from>
      <xdr:col>12</xdr:col>
      <xdr:colOff>207644</xdr:colOff>
      <xdr:row>150</xdr:row>
      <xdr:rowOff>173131</xdr:rowOff>
    </xdr:from>
    <xdr:to>
      <xdr:col>15</xdr:col>
      <xdr:colOff>630721</xdr:colOff>
      <xdr:row>172</xdr:row>
      <xdr:rowOff>15241</xdr:rowOff>
    </xdr:to>
    <xdr:grpSp>
      <xdr:nvGrpSpPr>
        <xdr:cNvPr id="274" name="Group 273">
          <a:extLst>
            <a:ext uri="{FF2B5EF4-FFF2-40B4-BE49-F238E27FC236}">
              <a16:creationId xmlns:a16="http://schemas.microsoft.com/office/drawing/2014/main" id="{A727E2EE-CD15-C563-077C-0509F415445A}"/>
            </a:ext>
          </a:extLst>
        </xdr:cNvPr>
        <xdr:cNvGrpSpPr/>
      </xdr:nvGrpSpPr>
      <xdr:grpSpPr>
        <a:xfrm>
          <a:off x="9056369" y="29929231"/>
          <a:ext cx="2766227" cy="4033110"/>
          <a:chOff x="9410475" y="28727119"/>
          <a:chExt cx="2860356" cy="3848597"/>
        </a:xfrm>
      </xdr:grpSpPr>
      <xdr:graphicFrame macro="">
        <xdr:nvGraphicFramePr>
          <xdr:cNvPr id="222" name="Graphique 108">
            <a:extLst>
              <a:ext uri="{FF2B5EF4-FFF2-40B4-BE49-F238E27FC236}">
                <a16:creationId xmlns:a16="http://schemas.microsoft.com/office/drawing/2014/main" id="{650AC30A-B54C-FBDF-2C77-D517E1B283C0}"/>
              </a:ext>
            </a:extLst>
          </xdr:cNvPr>
          <xdr:cNvGraphicFramePr/>
        </xdr:nvGraphicFramePr>
        <xdr:xfrm>
          <a:off x="9618708" y="28904240"/>
          <a:ext cx="2488687" cy="2518224"/>
        </xdr:xfrm>
        <a:graphic>
          <a:graphicData uri="http://schemas.openxmlformats.org/drawingml/2006/chart">
            <c:chart xmlns:c="http://schemas.openxmlformats.org/drawingml/2006/chart" xmlns:r="http://schemas.openxmlformats.org/officeDocument/2006/relationships" r:id="rId32"/>
          </a:graphicData>
        </a:graphic>
      </xdr:graphicFrame>
      <xdr:sp macro="" textlink="data!D42">
        <xdr:nvSpPr>
          <xdr:cNvPr id="223" name="CaixaDeTexto 4">
            <a:extLst>
              <a:ext uri="{FF2B5EF4-FFF2-40B4-BE49-F238E27FC236}">
                <a16:creationId xmlns:a16="http://schemas.microsoft.com/office/drawing/2014/main" id="{871DAA2F-8E68-0BEF-03EE-968BE27A5239}"/>
              </a:ext>
            </a:extLst>
          </xdr:cNvPr>
          <xdr:cNvSpPr txBox="1"/>
        </xdr:nvSpPr>
        <xdr:spPr>
          <a:xfrm>
            <a:off x="9942278" y="29557861"/>
            <a:ext cx="1793618" cy="6077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73E913D2-901C-491D-8265-71D7F7D5D3B3}" type="TxLink">
              <a:rPr lang="en-US" sz="3600" b="0" i="0" u="none" strike="noStrike">
                <a:solidFill>
                  <a:srgbClr val="000000"/>
                </a:solidFill>
                <a:latin typeface="Calibri"/>
                <a:cs typeface="Calibri"/>
              </a:rPr>
              <a:pPr algn="ctr"/>
              <a:t>0</a:t>
            </a:fld>
            <a:endParaRPr lang="fr-CA" sz="3600" b="0"/>
          </a:p>
        </xdr:txBody>
      </xdr:sp>
      <xdr:sp macro="" textlink="">
        <xdr:nvSpPr>
          <xdr:cNvPr id="224" name="ZoneTexte 110">
            <a:hlinkClick xmlns:r="http://schemas.openxmlformats.org/officeDocument/2006/relationships" r:id="rId22" tooltip="Show details"/>
            <a:extLst>
              <a:ext uri="{FF2B5EF4-FFF2-40B4-BE49-F238E27FC236}">
                <a16:creationId xmlns:a16="http://schemas.microsoft.com/office/drawing/2014/main" id="{BE87E5EF-055D-F547-E6E3-48DA09535692}"/>
              </a:ext>
            </a:extLst>
          </xdr:cNvPr>
          <xdr:cNvSpPr txBox="1"/>
        </xdr:nvSpPr>
        <xdr:spPr>
          <a:xfrm>
            <a:off x="9410475" y="28727119"/>
            <a:ext cx="2860356" cy="3116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fr-FR" sz="1400"/>
              <a:t>Groups with Only Disabled Members </a:t>
            </a:r>
          </a:p>
        </xdr:txBody>
      </xdr:sp>
      <xdr:sp macro="" textlink="">
        <xdr:nvSpPr>
          <xdr:cNvPr id="221" name="ZoneTexte 107">
            <a:extLst>
              <a:ext uri="{FF2B5EF4-FFF2-40B4-BE49-F238E27FC236}">
                <a16:creationId xmlns:a16="http://schemas.microsoft.com/office/drawing/2014/main" id="{FCA13597-9A49-8A25-9091-81FCF81CF7A2}"/>
              </a:ext>
            </a:extLst>
          </xdr:cNvPr>
          <xdr:cNvSpPr txBox="1"/>
        </xdr:nvSpPr>
        <xdr:spPr>
          <a:xfrm>
            <a:off x="9752499" y="31276182"/>
            <a:ext cx="2248016" cy="12995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solidFill>
                  <a:schemeClr val="dk1"/>
                </a:solidFill>
                <a:effectLst/>
                <a:latin typeface="+mn-lt"/>
                <a:ea typeface="+mn-ea"/>
                <a:cs typeface="+mn-cs"/>
              </a:rPr>
              <a:t>Groups that both give access to my safe through useAccount or retrieveAccounts authorizations and that members are deactivated.</a:t>
            </a:r>
            <a:endParaRPr lang="en-US">
              <a:effectLst/>
            </a:endParaRPr>
          </a:p>
        </xdr:txBody>
      </xdr:sp>
      <xdr:sp macro="" textlink="data!F42">
        <xdr:nvSpPr>
          <xdr:cNvPr id="266" name="CaixaDeTexto 4">
            <a:extLst>
              <a:ext uri="{FF2B5EF4-FFF2-40B4-BE49-F238E27FC236}">
                <a16:creationId xmlns:a16="http://schemas.microsoft.com/office/drawing/2014/main" id="{336FD2A5-24C6-4C8A-AFFF-56938A79A83E}"/>
              </a:ext>
            </a:extLst>
          </xdr:cNvPr>
          <xdr:cNvSpPr txBox="1"/>
        </xdr:nvSpPr>
        <xdr:spPr>
          <a:xfrm>
            <a:off x="9944605" y="30056586"/>
            <a:ext cx="1798459" cy="6025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FE35C787-2184-4B9D-B244-E2C2F98177D3}" type="TxLink">
              <a:rPr lang="en-US" sz="1400" b="0" i="0" u="none" strike="noStrike">
                <a:solidFill>
                  <a:srgbClr val="C00000"/>
                </a:solidFill>
                <a:latin typeface="Calibri"/>
                <a:cs typeface="Calibri"/>
              </a:rPr>
              <a:pPr algn="ctr"/>
              <a:t> + 0</a:t>
            </a:fld>
            <a:endParaRPr lang="fr-CA" sz="16600" b="0">
              <a:solidFill>
                <a:srgbClr val="C00000"/>
              </a:solidFill>
            </a:endParaRPr>
          </a:p>
        </xdr:txBody>
      </xdr:sp>
    </xdr:grpSp>
    <xdr:clientData/>
  </xdr:twoCellAnchor>
  <xdr:twoCellAnchor>
    <xdr:from>
      <xdr:col>0</xdr:col>
      <xdr:colOff>245745</xdr:colOff>
      <xdr:row>172</xdr:row>
      <xdr:rowOff>59309</xdr:rowOff>
    </xdr:from>
    <xdr:to>
      <xdr:col>4</xdr:col>
      <xdr:colOff>398312</xdr:colOff>
      <xdr:row>190</xdr:row>
      <xdr:rowOff>160023</xdr:rowOff>
    </xdr:to>
    <xdr:grpSp>
      <xdr:nvGrpSpPr>
        <xdr:cNvPr id="270" name="Group 269">
          <a:extLst>
            <a:ext uri="{FF2B5EF4-FFF2-40B4-BE49-F238E27FC236}">
              <a16:creationId xmlns:a16="http://schemas.microsoft.com/office/drawing/2014/main" id="{D5DE7295-AFFD-EF51-C434-EC398EC1A8E7}"/>
            </a:ext>
          </a:extLst>
        </xdr:cNvPr>
        <xdr:cNvGrpSpPr/>
      </xdr:nvGrpSpPr>
      <xdr:grpSpPr>
        <a:xfrm>
          <a:off x="245745" y="34006409"/>
          <a:ext cx="2752892" cy="3529714"/>
          <a:chOff x="245745" y="32619398"/>
          <a:chExt cx="2855986" cy="3378379"/>
        </a:xfrm>
      </xdr:grpSpPr>
      <xdr:graphicFrame macro="">
        <xdr:nvGraphicFramePr>
          <xdr:cNvPr id="228" name="Graphique 108">
            <a:extLst>
              <a:ext uri="{FF2B5EF4-FFF2-40B4-BE49-F238E27FC236}">
                <a16:creationId xmlns:a16="http://schemas.microsoft.com/office/drawing/2014/main" id="{B4EC82C0-7C33-F2D5-0FD7-D755D847EB97}"/>
              </a:ext>
            </a:extLst>
          </xdr:cNvPr>
          <xdr:cNvGraphicFramePr/>
        </xdr:nvGraphicFramePr>
        <xdr:xfrm>
          <a:off x="434645" y="32796582"/>
          <a:ext cx="2487711" cy="2522940"/>
        </xdr:xfrm>
        <a:graphic>
          <a:graphicData uri="http://schemas.openxmlformats.org/drawingml/2006/chart">
            <c:chart xmlns:c="http://schemas.openxmlformats.org/drawingml/2006/chart" xmlns:r="http://schemas.openxmlformats.org/officeDocument/2006/relationships" r:id="rId33"/>
          </a:graphicData>
        </a:graphic>
      </xdr:graphicFrame>
      <xdr:sp macro="" textlink="data!D43">
        <xdr:nvSpPr>
          <xdr:cNvPr id="229" name="CaixaDeTexto 4">
            <a:extLst>
              <a:ext uri="{FF2B5EF4-FFF2-40B4-BE49-F238E27FC236}">
                <a16:creationId xmlns:a16="http://schemas.microsoft.com/office/drawing/2014/main" id="{918FCBD0-A283-4961-B05C-611CCC7FB799}"/>
              </a:ext>
            </a:extLst>
          </xdr:cNvPr>
          <xdr:cNvSpPr txBox="1"/>
        </xdr:nvSpPr>
        <xdr:spPr>
          <a:xfrm>
            <a:off x="777817" y="33524095"/>
            <a:ext cx="1795653" cy="5850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C4DB8B13-3720-4001-AEFD-0B69308499BC}" type="TxLink">
              <a:rPr lang="en-US" sz="3600" b="0" i="0" u="none" strike="noStrike">
                <a:solidFill>
                  <a:srgbClr val="000000"/>
                </a:solidFill>
                <a:latin typeface="Calibri"/>
                <a:cs typeface="Calibri"/>
              </a:rPr>
              <a:pPr algn="ctr"/>
              <a:t>0</a:t>
            </a:fld>
            <a:endParaRPr lang="fr-CA" sz="3600" b="0"/>
          </a:p>
        </xdr:txBody>
      </xdr:sp>
      <xdr:sp macro="" textlink="">
        <xdr:nvSpPr>
          <xdr:cNvPr id="230" name="ZoneTexte 110">
            <a:hlinkClick xmlns:r="http://schemas.openxmlformats.org/officeDocument/2006/relationships" r:id="rId22" tooltip="Show details"/>
            <a:extLst>
              <a:ext uri="{FF2B5EF4-FFF2-40B4-BE49-F238E27FC236}">
                <a16:creationId xmlns:a16="http://schemas.microsoft.com/office/drawing/2014/main" id="{E831FCFE-CD8E-DD30-B0A0-397CA9E28336}"/>
              </a:ext>
            </a:extLst>
          </xdr:cNvPr>
          <xdr:cNvSpPr txBox="1"/>
        </xdr:nvSpPr>
        <xdr:spPr>
          <a:xfrm>
            <a:off x="245745" y="32619398"/>
            <a:ext cx="2855986" cy="3274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fr-FR" sz="1400"/>
              <a:t>My Empty Safes</a:t>
            </a:r>
          </a:p>
        </xdr:txBody>
      </xdr:sp>
      <xdr:sp macro="" textlink="">
        <xdr:nvSpPr>
          <xdr:cNvPr id="227" name="ZoneTexte 107">
            <a:extLst>
              <a:ext uri="{FF2B5EF4-FFF2-40B4-BE49-F238E27FC236}">
                <a16:creationId xmlns:a16="http://schemas.microsoft.com/office/drawing/2014/main" id="{70ACA72B-6B5F-C430-725F-7711DFBDBE37}"/>
              </a:ext>
            </a:extLst>
          </xdr:cNvPr>
          <xdr:cNvSpPr txBox="1"/>
        </xdr:nvSpPr>
        <xdr:spPr>
          <a:xfrm>
            <a:off x="551453" y="35168935"/>
            <a:ext cx="2244570" cy="828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solidFill>
                  <a:schemeClr val="dk1"/>
                </a:solidFill>
                <a:effectLst/>
                <a:latin typeface="+mn-lt"/>
                <a:ea typeface="+mn-ea"/>
                <a:cs typeface="+mn-cs"/>
              </a:rPr>
              <a:t>Safes that do not contain</a:t>
            </a:r>
            <a:r>
              <a:rPr lang="fr-FR" sz="1100" baseline="0">
                <a:solidFill>
                  <a:schemeClr val="dk1"/>
                </a:solidFill>
                <a:effectLst/>
                <a:latin typeface="+mn-lt"/>
                <a:ea typeface="+mn-ea"/>
                <a:cs typeface="+mn-cs"/>
              </a:rPr>
              <a:t> any</a:t>
            </a:r>
            <a:r>
              <a:rPr lang="fr-FR" sz="1100">
                <a:solidFill>
                  <a:schemeClr val="dk1"/>
                </a:solidFill>
                <a:effectLst/>
                <a:latin typeface="+mn-lt"/>
                <a:ea typeface="+mn-ea"/>
                <a:cs typeface="+mn-cs"/>
              </a:rPr>
              <a:t> credential.</a:t>
            </a:r>
            <a:endParaRPr lang="en-US">
              <a:effectLst/>
            </a:endParaRPr>
          </a:p>
        </xdr:txBody>
      </xdr:sp>
      <xdr:sp macro="" textlink="data!F43">
        <xdr:nvSpPr>
          <xdr:cNvPr id="267" name="CaixaDeTexto 4">
            <a:extLst>
              <a:ext uri="{FF2B5EF4-FFF2-40B4-BE49-F238E27FC236}">
                <a16:creationId xmlns:a16="http://schemas.microsoft.com/office/drawing/2014/main" id="{71EC7006-CE22-419F-8563-8E1ED13B114E}"/>
              </a:ext>
            </a:extLst>
          </xdr:cNvPr>
          <xdr:cNvSpPr txBox="1"/>
        </xdr:nvSpPr>
        <xdr:spPr>
          <a:xfrm>
            <a:off x="777366" y="34006043"/>
            <a:ext cx="1806079" cy="6177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51CE0B31-764B-4FBE-B370-71113722DE00}" type="TxLink">
              <a:rPr lang="en-US" sz="1400" b="0" i="0" u="none" strike="noStrike">
                <a:solidFill>
                  <a:srgbClr val="C00000"/>
                </a:solidFill>
                <a:latin typeface="Calibri"/>
                <a:cs typeface="Calibri"/>
              </a:rPr>
              <a:pPr algn="ctr"/>
              <a:t> + 0</a:t>
            </a:fld>
            <a:endParaRPr lang="fr-CA" sz="16600" b="0">
              <a:solidFill>
                <a:srgbClr val="C00000"/>
              </a:solidFill>
            </a:endParaRPr>
          </a:p>
        </xdr:txBody>
      </xdr:sp>
    </xdr:grpSp>
    <xdr:clientData/>
  </xdr:twoCellAnchor>
  <xdr:twoCellAnchor>
    <xdr:from>
      <xdr:col>4</xdr:col>
      <xdr:colOff>587076</xdr:colOff>
      <xdr:row>172</xdr:row>
      <xdr:rowOff>59304</xdr:rowOff>
    </xdr:from>
    <xdr:to>
      <xdr:col>8</xdr:col>
      <xdr:colOff>206243</xdr:colOff>
      <xdr:row>191</xdr:row>
      <xdr:rowOff>152398</xdr:rowOff>
    </xdr:to>
    <xdr:grpSp>
      <xdr:nvGrpSpPr>
        <xdr:cNvPr id="269" name="Group 268">
          <a:extLst>
            <a:ext uri="{FF2B5EF4-FFF2-40B4-BE49-F238E27FC236}">
              <a16:creationId xmlns:a16="http://schemas.microsoft.com/office/drawing/2014/main" id="{09A5F074-31AC-FEF4-A69F-27FC14E64793}"/>
            </a:ext>
          </a:extLst>
        </xdr:cNvPr>
        <xdr:cNvGrpSpPr/>
      </xdr:nvGrpSpPr>
      <xdr:grpSpPr>
        <a:xfrm>
          <a:off x="3187401" y="34006404"/>
          <a:ext cx="2743367" cy="3712594"/>
          <a:chOff x="3294305" y="32615588"/>
          <a:chExt cx="2868873" cy="3552377"/>
        </a:xfrm>
      </xdr:grpSpPr>
      <xdr:graphicFrame macro="">
        <xdr:nvGraphicFramePr>
          <xdr:cNvPr id="234" name="Graphique 108">
            <a:extLst>
              <a:ext uri="{FF2B5EF4-FFF2-40B4-BE49-F238E27FC236}">
                <a16:creationId xmlns:a16="http://schemas.microsoft.com/office/drawing/2014/main" id="{F0DE92D6-81CB-C482-0D95-466DCE9F8723}"/>
              </a:ext>
            </a:extLst>
          </xdr:cNvPr>
          <xdr:cNvGraphicFramePr/>
        </xdr:nvGraphicFramePr>
        <xdr:xfrm>
          <a:off x="3475459" y="32801915"/>
          <a:ext cx="2497039" cy="2548457"/>
        </xdr:xfrm>
        <a:graphic>
          <a:graphicData uri="http://schemas.openxmlformats.org/drawingml/2006/chart">
            <c:chart xmlns:c="http://schemas.openxmlformats.org/drawingml/2006/chart" xmlns:r="http://schemas.openxmlformats.org/officeDocument/2006/relationships" r:id="rId34"/>
          </a:graphicData>
        </a:graphic>
      </xdr:graphicFrame>
      <xdr:sp macro="" textlink="data!D44">
        <xdr:nvSpPr>
          <xdr:cNvPr id="235" name="CaixaDeTexto 4">
            <a:extLst>
              <a:ext uri="{FF2B5EF4-FFF2-40B4-BE49-F238E27FC236}">
                <a16:creationId xmlns:a16="http://schemas.microsoft.com/office/drawing/2014/main" id="{BDEBB560-C225-82C0-0885-6BBD13F0921A}"/>
              </a:ext>
            </a:extLst>
          </xdr:cNvPr>
          <xdr:cNvSpPr txBox="1"/>
        </xdr:nvSpPr>
        <xdr:spPr>
          <a:xfrm>
            <a:off x="3828786" y="33524095"/>
            <a:ext cx="1790386" cy="5959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1F939FDF-4A60-4087-B33E-8654241291AC}" type="TxLink">
              <a:rPr lang="en-US" sz="3600" b="0" i="0" u="none" strike="noStrike">
                <a:solidFill>
                  <a:srgbClr val="000000"/>
                </a:solidFill>
                <a:latin typeface="Calibri"/>
                <a:cs typeface="Calibri"/>
              </a:rPr>
              <a:pPr algn="ctr"/>
              <a:t>0</a:t>
            </a:fld>
            <a:endParaRPr lang="fr-CA" sz="3600" b="0"/>
          </a:p>
        </xdr:txBody>
      </xdr:sp>
      <xdr:sp macro="" textlink="">
        <xdr:nvSpPr>
          <xdr:cNvPr id="236" name="ZoneTexte 110">
            <a:hlinkClick xmlns:r="http://schemas.openxmlformats.org/officeDocument/2006/relationships" r:id="rId22" tooltip="Show details"/>
            <a:extLst>
              <a:ext uri="{FF2B5EF4-FFF2-40B4-BE49-F238E27FC236}">
                <a16:creationId xmlns:a16="http://schemas.microsoft.com/office/drawing/2014/main" id="{388E3D41-A145-DDAB-FC03-005106C44010}"/>
              </a:ext>
            </a:extLst>
          </xdr:cNvPr>
          <xdr:cNvSpPr txBox="1"/>
        </xdr:nvSpPr>
        <xdr:spPr>
          <a:xfrm>
            <a:off x="3294305" y="32615588"/>
            <a:ext cx="2868873" cy="33016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fr-FR" sz="1400"/>
              <a:t>My Safes without</a:t>
            </a:r>
            <a:r>
              <a:rPr lang="fr-FR" sz="1400" baseline="0"/>
              <a:t> Access</a:t>
            </a:r>
            <a:endParaRPr lang="fr-FR" sz="1400"/>
          </a:p>
        </xdr:txBody>
      </xdr:sp>
      <xdr:sp macro="" textlink="">
        <xdr:nvSpPr>
          <xdr:cNvPr id="233" name="ZoneTexte 107">
            <a:extLst>
              <a:ext uri="{FF2B5EF4-FFF2-40B4-BE49-F238E27FC236}">
                <a16:creationId xmlns:a16="http://schemas.microsoft.com/office/drawing/2014/main" id="{E2950DDB-15B6-C2F9-0615-92409D02E82D}"/>
              </a:ext>
            </a:extLst>
          </xdr:cNvPr>
          <xdr:cNvSpPr txBox="1"/>
        </xdr:nvSpPr>
        <xdr:spPr>
          <a:xfrm>
            <a:off x="3594707" y="35193389"/>
            <a:ext cx="2258543" cy="9745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solidFill>
                  <a:schemeClr val="dk1"/>
                </a:solidFill>
                <a:effectLst/>
                <a:latin typeface="+mn-lt"/>
                <a:ea typeface="+mn-ea"/>
                <a:cs typeface="+mn-cs"/>
              </a:rPr>
              <a:t>Safes without any user, no matter what type, booking or effective.</a:t>
            </a:r>
            <a:endParaRPr lang="en-US">
              <a:effectLst/>
            </a:endParaRPr>
          </a:p>
        </xdr:txBody>
      </xdr:sp>
      <xdr:sp macro="" textlink="data!F44">
        <xdr:nvSpPr>
          <xdr:cNvPr id="268" name="CaixaDeTexto 4">
            <a:extLst>
              <a:ext uri="{FF2B5EF4-FFF2-40B4-BE49-F238E27FC236}">
                <a16:creationId xmlns:a16="http://schemas.microsoft.com/office/drawing/2014/main" id="{C29B7F9A-0FB4-4916-ACAF-712D78F198B1}"/>
              </a:ext>
            </a:extLst>
          </xdr:cNvPr>
          <xdr:cNvSpPr txBox="1"/>
        </xdr:nvSpPr>
        <xdr:spPr>
          <a:xfrm>
            <a:off x="3819034" y="34006043"/>
            <a:ext cx="1809889" cy="6177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81DE6147-315B-4F2D-8755-325711CAB270}" type="TxLink">
              <a:rPr lang="en-US" sz="1400" b="0" i="0" u="none" strike="noStrike">
                <a:solidFill>
                  <a:srgbClr val="C00000"/>
                </a:solidFill>
                <a:latin typeface="Calibri"/>
                <a:cs typeface="Calibri"/>
              </a:rPr>
              <a:pPr algn="ctr"/>
              <a:t> + 0</a:t>
            </a:fld>
            <a:endParaRPr lang="fr-CA" sz="16600" b="0">
              <a:solidFill>
                <a:srgbClr val="C00000"/>
              </a:solidFill>
            </a:endParaRPr>
          </a:p>
        </xdr:txBody>
      </xdr:sp>
    </xdr:grpSp>
    <xdr:clientData/>
  </xdr:twoCellAnchor>
  <xdr:twoCellAnchor editAs="oneCell">
    <xdr:from>
      <xdr:col>13</xdr:col>
      <xdr:colOff>419100</xdr:colOff>
      <xdr:row>0</xdr:row>
      <xdr:rowOff>228600</xdr:rowOff>
    </xdr:from>
    <xdr:to>
      <xdr:col>15</xdr:col>
      <xdr:colOff>600075</xdr:colOff>
      <xdr:row>0</xdr:row>
      <xdr:rowOff>741269</xdr:rowOff>
    </xdr:to>
    <xdr:pic>
      <xdr:nvPicPr>
        <xdr:cNvPr id="77" name="Image 76">
          <a:extLst>
            <a:ext uri="{FF2B5EF4-FFF2-40B4-BE49-F238E27FC236}">
              <a16:creationId xmlns:a16="http://schemas.microsoft.com/office/drawing/2014/main" id="{ACDB3F30-AD0C-4BF3-BD33-D0A7961368F7}"/>
            </a:ext>
          </a:extLst>
        </xdr:cNvPr>
        <xdr:cNvPicPr>
          <a:picLocks noChangeAspect="1"/>
        </xdr:cNvPicPr>
      </xdr:nvPicPr>
      <xdr:blipFill>
        <a:blip xmlns:r="http://schemas.openxmlformats.org/officeDocument/2006/relationships" r:embed="rId35" cstate="print">
          <a:extLst>
            <a:ext uri="{28A0092B-C50C-407E-A947-70E740481C1C}">
              <a14:useLocalDpi xmlns:a14="http://schemas.microsoft.com/office/drawing/2010/main" val="0"/>
            </a:ext>
          </a:extLst>
        </a:blip>
        <a:stretch>
          <a:fillRect/>
        </a:stretch>
      </xdr:blipFill>
      <xdr:spPr>
        <a:xfrm>
          <a:off x="10048875" y="228600"/>
          <a:ext cx="1743075" cy="512669"/>
        </a:xfrm>
        <a:prstGeom prst="rect">
          <a:avLst/>
        </a:prstGeom>
      </xdr:spPr>
    </xdr:pic>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01BD1A-D14E-4BD9-8512-1571C3F2A35C}">
  <sheetPr>
    <tabColor theme="9"/>
    <pageSetUpPr fitToPage="1"/>
  </sheetPr>
  <dimension ref="A1:P22"/>
  <sheetViews>
    <sheetView showGridLines="0" showRowColHeaders="0" tabSelected="1" zoomScaleNormal="100" workbookViewId="0">
      <selection activeCell="A2" sqref="A2"/>
    </sheetView>
  </sheetViews>
  <sheetFormatPr baseColWidth="10" defaultColWidth="11.42578125" defaultRowHeight="15"/>
  <cols>
    <col min="1" max="1" width="3.7109375" style="17" customWidth="1"/>
    <col min="2" max="16384" width="11.42578125" style="17"/>
  </cols>
  <sheetData>
    <row r="1" spans="1:16" s="16" customFormat="1" ht="72" customHeight="1">
      <c r="A1" s="14"/>
      <c r="B1" s="15" t="s">
        <v>916</v>
      </c>
      <c r="C1" s="14"/>
      <c r="D1" s="14"/>
      <c r="E1" s="14"/>
      <c r="F1" s="14"/>
      <c r="G1" s="14"/>
      <c r="H1" s="14"/>
      <c r="I1" s="14"/>
      <c r="J1" s="14"/>
      <c r="K1" s="14"/>
      <c r="L1" s="14"/>
      <c r="M1" s="14"/>
      <c r="N1" s="14"/>
      <c r="O1" s="14"/>
      <c r="P1" s="14"/>
    </row>
    <row r="4" spans="1:16">
      <c r="B4" s="19" t="s">
        <v>926</v>
      </c>
    </row>
    <row r="5" spans="1:16">
      <c r="B5" s="19" t="s">
        <v>927</v>
      </c>
    </row>
    <row r="6" spans="1:16">
      <c r="B6" s="19" t="s">
        <v>928</v>
      </c>
    </row>
    <row r="8" spans="1:16">
      <c r="B8" s="17" t="s">
        <v>913</v>
      </c>
    </row>
    <row r="9" spans="1:16">
      <c r="B9" s="17" t="s">
        <v>914</v>
      </c>
    </row>
    <row r="10" spans="1:16">
      <c r="B10" s="17" t="s">
        <v>915</v>
      </c>
    </row>
    <row r="15" spans="1:16" ht="31.5">
      <c r="C15" s="20" t="s">
        <v>868</v>
      </c>
      <c r="D15" s="21"/>
      <c r="E15" s="21"/>
      <c r="F15" s="21"/>
      <c r="G15" s="21"/>
      <c r="H15" s="22"/>
      <c r="J15" s="20" t="s">
        <v>917</v>
      </c>
      <c r="K15" s="21"/>
      <c r="L15" s="21"/>
      <c r="M15" s="21"/>
      <c r="N15" s="21"/>
      <c r="O15" s="22"/>
    </row>
    <row r="16" spans="1:16">
      <c r="C16" s="23" t="s">
        <v>859</v>
      </c>
      <c r="D16" s="24"/>
      <c r="E16" s="24"/>
      <c r="F16" s="24"/>
      <c r="G16" s="24"/>
      <c r="H16" s="25"/>
      <c r="J16" s="23" t="s">
        <v>918</v>
      </c>
      <c r="K16" s="24"/>
      <c r="L16" s="24"/>
      <c r="M16" s="24"/>
      <c r="N16" s="24"/>
      <c r="O16" s="25"/>
    </row>
    <row r="17" spans="3:15">
      <c r="C17" s="23" t="s">
        <v>863</v>
      </c>
      <c r="D17" s="24"/>
      <c r="E17" s="24"/>
      <c r="F17" s="24"/>
      <c r="G17" s="24"/>
      <c r="H17" s="25"/>
      <c r="J17" s="23" t="s">
        <v>919</v>
      </c>
      <c r="K17" s="24"/>
      <c r="L17" s="24"/>
      <c r="M17" s="24"/>
      <c r="N17" s="24"/>
      <c r="O17" s="25"/>
    </row>
    <row r="18" spans="3:15">
      <c r="C18" s="23" t="s">
        <v>869</v>
      </c>
      <c r="D18" s="24"/>
      <c r="E18" s="24"/>
      <c r="F18" s="24"/>
      <c r="G18" s="24"/>
      <c r="H18" s="25"/>
      <c r="J18" s="23" t="s">
        <v>920</v>
      </c>
      <c r="K18" s="24"/>
      <c r="L18" s="24"/>
      <c r="M18" s="24"/>
      <c r="N18" s="24"/>
      <c r="O18" s="25"/>
    </row>
    <row r="19" spans="3:15">
      <c r="C19" s="23" t="s">
        <v>870</v>
      </c>
      <c r="D19" s="24"/>
      <c r="E19" s="24"/>
      <c r="F19" s="24"/>
      <c r="G19" s="24"/>
      <c r="H19" s="25"/>
      <c r="J19" s="23" t="s">
        <v>921</v>
      </c>
      <c r="K19" s="24"/>
      <c r="L19" s="24"/>
      <c r="M19" s="24"/>
      <c r="N19" s="24"/>
      <c r="O19" s="25"/>
    </row>
    <row r="20" spans="3:15">
      <c r="C20" s="23" t="s">
        <v>864</v>
      </c>
      <c r="D20" s="24"/>
      <c r="E20" s="24"/>
      <c r="F20" s="24"/>
      <c r="G20" s="24"/>
      <c r="H20" s="25"/>
      <c r="J20" s="23" t="s">
        <v>922</v>
      </c>
      <c r="K20" s="24"/>
      <c r="L20" s="24"/>
      <c r="M20" s="24"/>
      <c r="N20" s="24"/>
      <c r="O20" s="25"/>
    </row>
    <row r="21" spans="3:15">
      <c r="C21" s="23" t="s">
        <v>867</v>
      </c>
      <c r="D21" s="24"/>
      <c r="E21" s="24"/>
      <c r="F21" s="24"/>
      <c r="G21" s="24"/>
      <c r="H21" s="25"/>
    </row>
    <row r="22" spans="3:15">
      <c r="C22" s="26"/>
      <c r="D22" s="27"/>
      <c r="E22" s="27"/>
      <c r="F22" s="27"/>
      <c r="G22" s="27"/>
      <c r="H22" s="28"/>
    </row>
  </sheetData>
  <mergeCells count="14">
    <mergeCell ref="J17:O17"/>
    <mergeCell ref="J16:O16"/>
    <mergeCell ref="J15:O15"/>
    <mergeCell ref="J20:O20"/>
    <mergeCell ref="J19:O19"/>
    <mergeCell ref="J18:O18"/>
    <mergeCell ref="C15:H15"/>
    <mergeCell ref="C16:H16"/>
    <mergeCell ref="C20:H20"/>
    <mergeCell ref="C22:H22"/>
    <mergeCell ref="C17:H17"/>
    <mergeCell ref="C18:H18"/>
    <mergeCell ref="C19:H19"/>
    <mergeCell ref="C21:H21"/>
  </mergeCells>
  <hyperlinks>
    <hyperlink ref="C16" location="'accounts dashboard'!A3" display="Périmètre" xr:uid="{8C0CD2F6-6C19-4833-9410-18F888B47744}"/>
    <hyperlink ref="C20" location="'accounts dashboard'!A46" display="Problèmes identifiés" xr:uid="{F80A2359-38C7-425B-A662-6F93848826A7}"/>
    <hyperlink ref="J17" location="accounts!A1" display="Liste des comptes d'accès" xr:uid="{DDB3A923-EC75-4ACD-8852-E43E0994A384}"/>
    <hyperlink ref="C20:H20" location="'SafeOwner KPIs'!A125" display="Identified Risk Issues" xr:uid="{B5D68600-C44B-4D2B-BD0C-DE75906C1CBF}"/>
    <hyperlink ref="C16:H16" location="'SafeOwner KPIs'!A2" display="Scope" xr:uid="{C7C077E5-0A68-417A-A4D7-DE499B6C431C}"/>
    <hyperlink ref="C17:H17" location="'SafeOwner KPIs'!A57" display="New CyberArk Users by Type" xr:uid="{B82D8112-371D-4ED5-8566-EFD95B0FDAF9}"/>
    <hyperlink ref="C18:H18" location="'SafeOwner KPIs'!A78" display="Group Changes" xr:uid="{7126FA41-2D3F-4CD0-AEFC-5C3BA45B34A9}"/>
    <hyperlink ref="C19:H19" location="'SafeOwner KPIs'!A99" display="Credential Changes" xr:uid="{BCE3F39F-9727-48B7-8FCE-6115C6212D51}"/>
    <hyperlink ref="C21:H21" location="'SafeOwner KPIs'!A172" display="Identified Quality Issues" xr:uid="{F7933D58-C201-47A6-9D1B-6D1E51CCC1F0}"/>
    <hyperlink ref="J16:O16" location="safes!A1" display="List of Safes I Own" xr:uid="{F0D3332E-EB8F-4689-A615-3742660A4574}"/>
    <hyperlink ref="J17:O17" location="users!A1" display="List of Users Having Access to My Safes" xr:uid="{AB023EC6-CD91-4A1C-AAEF-B46513E6E6C9}"/>
    <hyperlink ref="J18:O18" location="groups!A1" display="List of Groups Providing Access to My Safes" xr:uid="{77F50965-D2EC-4199-815F-CF259695FD4D}"/>
    <hyperlink ref="J19:O19" location="credentials!A1" display="List of Credentials Secured in My Safes" xr:uid="{C28ABEB5-55A7-421D-A68D-E5E8B4299544}"/>
    <hyperlink ref="J20:O20" location="controldefects!A1" display="List of Issues Detected in My Safes" xr:uid="{FA97653F-4923-4285-8660-CE76AD0538CA}"/>
  </hyperlinks>
  <pageMargins left="0.7" right="0.7" top="0.75" bottom="0.75" header="0.3" footer="0.3"/>
  <pageSetup paperSize="9" scale="49" fitToHeight="0" orientation="portrait" horizontalDpi="4294967293" verticalDpi="0"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834F56-112D-4F6F-B670-D147E33DE262}">
  <sheetPr>
    <tabColor rgb="FF0070C0"/>
  </sheetPr>
  <dimension ref="A1:P148"/>
  <sheetViews>
    <sheetView showGridLines="0" showRowColHeaders="0" zoomScaleNormal="100" workbookViewId="0">
      <selection activeCell="A3" sqref="A3"/>
    </sheetView>
  </sheetViews>
  <sheetFormatPr baseColWidth="10" defaultColWidth="8.85546875" defaultRowHeight="15"/>
  <cols>
    <col min="1" max="1" width="3.85546875" style="9" bestFit="1" customWidth="1"/>
    <col min="2" max="16" width="11.7109375" style="9" customWidth="1"/>
    <col min="17" max="16384" width="8.85546875" style="9"/>
  </cols>
  <sheetData>
    <row r="1" spans="1:16" ht="72" customHeight="1">
      <c r="A1" s="10"/>
      <c r="B1" s="11" t="s">
        <v>868</v>
      </c>
      <c r="C1" s="10"/>
      <c r="D1" s="10"/>
      <c r="E1" s="10"/>
      <c r="F1" s="10"/>
      <c r="G1" s="10"/>
      <c r="H1" s="10"/>
      <c r="I1" s="10"/>
      <c r="J1" s="10"/>
      <c r="K1" s="10"/>
      <c r="L1" s="10"/>
      <c r="M1" s="10"/>
      <c r="N1" s="10"/>
      <c r="O1" s="10"/>
      <c r="P1" s="10"/>
    </row>
    <row r="2" spans="1:16" ht="21">
      <c r="A2" s="12" t="s">
        <v>858</v>
      </c>
      <c r="B2" s="12" t="s">
        <v>859</v>
      </c>
      <c r="C2" s="13"/>
      <c r="D2" s="13"/>
      <c r="E2" s="13"/>
      <c r="F2" s="13"/>
      <c r="G2" s="13"/>
      <c r="H2" s="13"/>
      <c r="I2" s="13"/>
      <c r="J2" s="13"/>
      <c r="K2" s="13"/>
      <c r="L2" s="13"/>
      <c r="M2" s="13"/>
      <c r="N2" s="13"/>
      <c r="O2" s="13"/>
      <c r="P2" s="13"/>
    </row>
    <row r="33" spans="1:16" ht="21">
      <c r="A33" s="12" t="s">
        <v>858</v>
      </c>
      <c r="B33" s="12" t="s">
        <v>863</v>
      </c>
      <c r="C33" s="13"/>
      <c r="D33" s="13"/>
      <c r="E33" s="13"/>
      <c r="F33" s="13"/>
      <c r="G33" s="13"/>
      <c r="H33" s="13"/>
      <c r="I33" s="13"/>
      <c r="J33" s="13"/>
      <c r="K33" s="13"/>
      <c r="L33" s="13"/>
      <c r="M33" s="13"/>
      <c r="N33" s="13"/>
      <c r="O33" s="13"/>
      <c r="P33" s="13"/>
    </row>
    <row r="54" spans="1:16" ht="21">
      <c r="A54" s="12" t="s">
        <v>858</v>
      </c>
      <c r="B54" s="12" t="s">
        <v>869</v>
      </c>
      <c r="C54" s="13"/>
      <c r="D54" s="13"/>
      <c r="E54" s="13"/>
      <c r="F54" s="13"/>
      <c r="G54" s="13"/>
      <c r="H54" s="13"/>
      <c r="I54" s="13"/>
      <c r="J54" s="13"/>
      <c r="K54" s="13"/>
      <c r="L54" s="13"/>
      <c r="M54" s="13"/>
      <c r="N54" s="13"/>
      <c r="O54" s="13"/>
      <c r="P54" s="13"/>
    </row>
    <row r="77" spans="1:16" ht="21">
      <c r="A77" s="12" t="s">
        <v>858</v>
      </c>
      <c r="B77" s="12" t="s">
        <v>870</v>
      </c>
      <c r="C77" s="13"/>
      <c r="D77" s="13"/>
      <c r="E77" s="13"/>
      <c r="F77" s="13"/>
      <c r="G77" s="13"/>
      <c r="H77" s="13"/>
      <c r="I77" s="13"/>
      <c r="J77" s="13"/>
      <c r="K77" s="13"/>
      <c r="L77" s="13"/>
      <c r="M77" s="13"/>
      <c r="N77" s="13"/>
      <c r="O77" s="13"/>
      <c r="P77" s="13"/>
    </row>
    <row r="99" spans="1:16" ht="21">
      <c r="A99" s="12" t="s">
        <v>858</v>
      </c>
      <c r="B99" s="12" t="s">
        <v>864</v>
      </c>
      <c r="C99" s="13"/>
      <c r="D99" s="13"/>
      <c r="E99" s="13"/>
      <c r="F99" s="13"/>
      <c r="G99" s="13"/>
      <c r="H99" s="13"/>
      <c r="I99" s="13"/>
      <c r="J99" s="13"/>
      <c r="K99" s="13"/>
      <c r="L99" s="13"/>
      <c r="M99" s="13"/>
      <c r="N99" s="13"/>
      <c r="O99" s="13"/>
      <c r="P99" s="13"/>
    </row>
    <row r="148" spans="1:16" ht="21">
      <c r="A148" s="12" t="s">
        <v>858</v>
      </c>
      <c r="B148" s="12" t="s">
        <v>867</v>
      </c>
      <c r="C148" s="13"/>
      <c r="D148" s="13"/>
      <c r="E148" s="13"/>
      <c r="F148" s="13"/>
      <c r="G148" s="13"/>
      <c r="H148" s="13"/>
      <c r="I148" s="13"/>
      <c r="J148" s="13"/>
      <c r="K148" s="13"/>
      <c r="L148" s="13"/>
      <c r="M148" s="13"/>
      <c r="N148" s="13"/>
      <c r="O148" s="13"/>
      <c r="P148" s="13"/>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4118F-EDB1-42DA-AE04-0EC2CED1BCCC}">
  <sheetPr>
    <tabColor rgb="FFFF0000"/>
  </sheetPr>
  <dimension ref="A1:I44"/>
  <sheetViews>
    <sheetView workbookViewId="0">
      <selection activeCell="B4" sqref="B4"/>
    </sheetView>
  </sheetViews>
  <sheetFormatPr baseColWidth="10" defaultColWidth="9.140625" defaultRowHeight="15"/>
  <cols>
    <col min="1" max="1" width="52.28515625" bestFit="1" customWidth="1"/>
    <col min="6" max="6" width="9.28515625" bestFit="1" customWidth="1"/>
    <col min="9" max="9" width="71.7109375" bestFit="1" customWidth="1"/>
  </cols>
  <sheetData>
    <row r="1" spans="1:8">
      <c r="A1" s="30" t="s">
        <v>860</v>
      </c>
      <c r="B1" s="30"/>
      <c r="C1" s="30"/>
      <c r="D1" s="30"/>
      <c r="E1" s="30"/>
      <c r="F1" s="30"/>
      <c r="G1" s="30"/>
      <c r="H1" s="30"/>
    </row>
    <row r="3" spans="1:8">
      <c r="A3" t="s">
        <v>862</v>
      </c>
      <c r="B3">
        <f>COUNTIF(safes!A$2:A$900001,"New")</f>
        <v>0</v>
      </c>
    </row>
    <row r="4" spans="1:8">
      <c r="A4" t="s">
        <v>861</v>
      </c>
      <c r="B4">
        <f>COUNTA(safes!E$2:E$900000)-1</f>
        <v>2</v>
      </c>
    </row>
    <row r="6" spans="1:8">
      <c r="A6" s="29" t="s">
        <v>874</v>
      </c>
      <c r="B6" s="29"/>
      <c r="C6" s="29"/>
      <c r="D6" s="29"/>
      <c r="E6" s="29"/>
      <c r="F6" s="29"/>
      <c r="G6" s="29"/>
      <c r="H6" s="29"/>
    </row>
    <row r="7" spans="1:8">
      <c r="B7" t="s">
        <v>876</v>
      </c>
      <c r="C7" t="s">
        <v>878</v>
      </c>
      <c r="D7" t="s">
        <v>121</v>
      </c>
      <c r="E7" t="s">
        <v>879</v>
      </c>
      <c r="F7" t="s">
        <v>26</v>
      </c>
      <c r="G7" t="s">
        <v>880</v>
      </c>
      <c r="H7" t="s">
        <v>877</v>
      </c>
    </row>
    <row r="8" spans="1:8">
      <c r="A8" t="s">
        <v>871</v>
      </c>
      <c r="B8">
        <f>COUNTA(users!C$2:C$900000)-1</f>
        <v>37</v>
      </c>
      <c r="C8">
        <f>B8-D8</f>
        <v>14</v>
      </c>
      <c r="D8">
        <f>COUNTIF(users!A$2:A$900000,"New")</f>
        <v>23</v>
      </c>
      <c r="E8">
        <f>B8-F8</f>
        <v>30</v>
      </c>
      <c r="F8">
        <f>COUNTIF(users!A$2:A$900000,"Modified")</f>
        <v>7</v>
      </c>
      <c r="G8">
        <f>B8-H8</f>
        <v>37</v>
      </c>
      <c r="H8">
        <f>COUNTIF(users!A$2:A$900000,"Deleted")</f>
        <v>0</v>
      </c>
    </row>
    <row r="9" spans="1:8">
      <c r="A9" t="s">
        <v>873</v>
      </c>
      <c r="B9">
        <f>COUNTIF(users!B$2:B$900001,"Booking")</f>
        <v>31</v>
      </c>
      <c r="C9">
        <f>B9-D9</f>
        <v>12</v>
      </c>
      <c r="D9">
        <f>COUNTIFS(users!B$2:B$900001,"Booking",users!A$2:A$900001,"New")</f>
        <v>19</v>
      </c>
      <c r="E9">
        <f>B9-F9</f>
        <v>26</v>
      </c>
      <c r="F9">
        <f>COUNTIFS(users!B$2:B$900001,"Booking",users!A$2:A$900001,"Modified")</f>
        <v>5</v>
      </c>
      <c r="G9">
        <f>B9-H9</f>
        <v>31</v>
      </c>
      <c r="H9">
        <f>COUNTIFS(users!B$2:B$900001,"Booking",users!A$2:A$900001,"Deleted")</f>
        <v>0</v>
      </c>
    </row>
    <row r="10" spans="1:8">
      <c r="A10" t="s">
        <v>872</v>
      </c>
      <c r="B10">
        <f>B8-B9</f>
        <v>6</v>
      </c>
      <c r="C10">
        <f>B10-D10</f>
        <v>2</v>
      </c>
      <c r="D10">
        <f t="shared" ref="D10:H10" si="0">D8-D9</f>
        <v>4</v>
      </c>
      <c r="E10">
        <f>B10-F10</f>
        <v>4</v>
      </c>
      <c r="F10">
        <f t="shared" si="0"/>
        <v>2</v>
      </c>
      <c r="G10">
        <f>B10-H10</f>
        <v>6</v>
      </c>
      <c r="H10">
        <f t="shared" si="0"/>
        <v>0</v>
      </c>
    </row>
    <row r="11" spans="1:8">
      <c r="A11" t="s">
        <v>875</v>
      </c>
      <c r="B11">
        <f>COUNTIF(users!B$2:B$900001,"EPVUser")</f>
        <v>1</v>
      </c>
      <c r="C11">
        <f>B11-D11</f>
        <v>1</v>
      </c>
      <c r="D11">
        <f>COUNTIFS(users!B$2:B$900001,"EPVUser",users!A$2:A$900001,"New")</f>
        <v>0</v>
      </c>
      <c r="E11">
        <f>B11-F11</f>
        <v>0</v>
      </c>
      <c r="F11">
        <f>COUNTIFS(users!B$2:B$900001,"EPVUser",users!A$2:A$900001,"Modified")</f>
        <v>1</v>
      </c>
      <c r="G11">
        <f>B11-H11</f>
        <v>1</v>
      </c>
      <c r="H11">
        <f>COUNTIFS(users!B$2:B$900001,"EPVUser",users!A$2:A$900001,"Deleted")</f>
        <v>0</v>
      </c>
    </row>
    <row r="12" spans="1:8">
      <c r="A12" t="s">
        <v>881</v>
      </c>
      <c r="B12">
        <f>COUNTIF(users!B$2:B$900001,"AIMAccount")</f>
        <v>3</v>
      </c>
      <c r="C12">
        <f>B12-D12</f>
        <v>0</v>
      </c>
      <c r="D12">
        <f>COUNTIFS(users!B$2:B$900001,"AIMAccount",users!A$2:A$900001,"New")</f>
        <v>3</v>
      </c>
      <c r="E12">
        <f>B12-F12</f>
        <v>3</v>
      </c>
      <c r="F12">
        <f>COUNTIFS(users!B$2:B$900001,"AIMAccount",users!A$2:A$900001,"Modified")</f>
        <v>0</v>
      </c>
      <c r="G12">
        <f>B12-H12</f>
        <v>3</v>
      </c>
      <c r="H12">
        <f>COUNTIFS(users!B$2:B$900001,"AIMAccount",users!A$2:A$900001,"Deleted")</f>
        <v>0</v>
      </c>
    </row>
    <row r="13" spans="1:8">
      <c r="A13" t="s">
        <v>882</v>
      </c>
      <c r="B13">
        <f>B10-B11-B12</f>
        <v>2</v>
      </c>
      <c r="C13">
        <f>C10-C11-C12</f>
        <v>1</v>
      </c>
      <c r="D13">
        <f t="shared" ref="D13:H13" si="1">D10-D11-D12</f>
        <v>1</v>
      </c>
      <c r="E13">
        <f>E10-E11-E12</f>
        <v>1</v>
      </c>
      <c r="F13">
        <f t="shared" si="1"/>
        <v>1</v>
      </c>
      <c r="G13">
        <f>G10-G11-G12</f>
        <v>2</v>
      </c>
      <c r="H13">
        <f t="shared" si="1"/>
        <v>0</v>
      </c>
    </row>
    <row r="14" spans="1:8">
      <c r="A14" t="s">
        <v>923</v>
      </c>
      <c r="B14">
        <f>COUNTIF(users!AK$2:AK$90000,0)</f>
        <v>3</v>
      </c>
    </row>
    <row r="16" spans="1:8">
      <c r="A16" s="29" t="s">
        <v>886</v>
      </c>
      <c r="B16" s="29"/>
      <c r="C16" s="29"/>
      <c r="D16" s="29"/>
      <c r="E16" s="29"/>
      <c r="F16" s="29"/>
      <c r="G16" s="29"/>
      <c r="H16" s="29"/>
    </row>
    <row r="17" spans="1:9">
      <c r="B17" t="s">
        <v>876</v>
      </c>
      <c r="C17" t="s">
        <v>878</v>
      </c>
      <c r="D17" t="s">
        <v>121</v>
      </c>
      <c r="E17" t="s">
        <v>879</v>
      </c>
      <c r="F17" t="s">
        <v>26</v>
      </c>
      <c r="G17" t="s">
        <v>880</v>
      </c>
      <c r="H17" t="s">
        <v>877</v>
      </c>
    </row>
    <row r="18" spans="1:9">
      <c r="A18" t="s">
        <v>421</v>
      </c>
      <c r="B18">
        <f>COUNTA(groups!D$2:D$900000)-1</f>
        <v>10</v>
      </c>
      <c r="C18">
        <f>B18-D18</f>
        <v>6</v>
      </c>
      <c r="D18">
        <f>COUNTIF(groups!A$2:A$900000,"New")</f>
        <v>4</v>
      </c>
      <c r="E18">
        <f>B18-F18</f>
        <v>6</v>
      </c>
      <c r="F18">
        <f>COUNTIF(groups!A$2:A$900000,"Modified")</f>
        <v>4</v>
      </c>
      <c r="G18">
        <f>B18-H18</f>
        <v>10</v>
      </c>
      <c r="H18">
        <f>COUNTIF(groups!A$2:A$900000,"Deleted")</f>
        <v>0</v>
      </c>
    </row>
    <row r="19" spans="1:9">
      <c r="A19" t="s">
        <v>887</v>
      </c>
      <c r="B19">
        <f>COUNTIF(groups!N$2:N$900000,"&gt;0")</f>
        <v>4</v>
      </c>
      <c r="C19">
        <f>B18-D19</f>
        <v>10</v>
      </c>
      <c r="D19">
        <f>COUNTIFS(groups!A$2:A$900000,"New",groups!N$2:N$900000,"&gt;0")</f>
        <v>0</v>
      </c>
      <c r="E19">
        <f>B18-F19</f>
        <v>8</v>
      </c>
      <c r="F19">
        <f>COUNTIFS(groups!A$2:A$900000,"Modified",groups!N$2:N$900000,"&gt;0")</f>
        <v>2</v>
      </c>
      <c r="G19">
        <f>B18-H19</f>
        <v>10</v>
      </c>
      <c r="H19">
        <f>COUNTIFS(groups!A$2:A$900000,"Deleted",groups!N$2:N$900000,"&gt;0")</f>
        <v>0</v>
      </c>
    </row>
    <row r="21" spans="1:9">
      <c r="A21" s="29" t="s">
        <v>888</v>
      </c>
      <c r="B21" s="29"/>
      <c r="C21" s="29"/>
      <c r="D21" s="29"/>
      <c r="E21" s="29"/>
      <c r="F21" s="29"/>
      <c r="G21" s="29"/>
      <c r="H21" s="29"/>
    </row>
    <row r="22" spans="1:9">
      <c r="B22" t="s">
        <v>876</v>
      </c>
      <c r="C22" t="s">
        <v>878</v>
      </c>
      <c r="D22" t="s">
        <v>121</v>
      </c>
      <c r="E22" t="s">
        <v>879</v>
      </c>
      <c r="F22" t="s">
        <v>26</v>
      </c>
      <c r="G22" t="s">
        <v>880</v>
      </c>
      <c r="H22" t="s">
        <v>877</v>
      </c>
    </row>
    <row r="23" spans="1:9">
      <c r="A23" t="s">
        <v>701</v>
      </c>
      <c r="B23">
        <f>COUNTA(credentials!B$2:B$900000)-1</f>
        <v>104</v>
      </c>
      <c r="C23">
        <f>B23-D23</f>
        <v>90</v>
      </c>
      <c r="D23">
        <f>COUNTIF(credentials!A$2:A$900000,"New")</f>
        <v>14</v>
      </c>
      <c r="E23">
        <f>B23-F23</f>
        <v>14</v>
      </c>
      <c r="F23">
        <f>COUNTIF(credentials!A$2:A$900000,"Modified")</f>
        <v>90</v>
      </c>
      <c r="G23">
        <f>B23-H23</f>
        <v>104</v>
      </c>
      <c r="H23">
        <f>COUNTIF(credentials!A$2:A$900000,"Deleted")</f>
        <v>0</v>
      </c>
    </row>
    <row r="24" spans="1:9">
      <c r="A24" t="s">
        <v>891</v>
      </c>
      <c r="B24">
        <f>B23-B25</f>
        <v>91</v>
      </c>
    </row>
    <row r="25" spans="1:9">
      <c r="A25" t="s">
        <v>889</v>
      </c>
      <c r="B25">
        <f>COUNTIF(credentials!G$2:G$900000,"0")</f>
        <v>13</v>
      </c>
      <c r="C25">
        <f>B25-D25</f>
        <v>13</v>
      </c>
      <c r="D25">
        <f>COUNTIFS(credentials!G$2:G$900000,0,credentials!A$2:A$900000,"New")</f>
        <v>0</v>
      </c>
      <c r="E25">
        <f t="shared" ref="E25:E27" si="2">B25-F25</f>
        <v>0</v>
      </c>
      <c r="F25">
        <f>COUNTIFS(credentials!G$2:G$900000,0,credentials!A$2:A$900000,"Modified")</f>
        <v>13</v>
      </c>
      <c r="G25">
        <f t="shared" ref="G25:G27" si="3">B25-H25</f>
        <v>13</v>
      </c>
      <c r="H25">
        <f>COUNTIFS(credentials!G$2:G$900000,0,credentials!A$2:A$900000,"Deleted")</f>
        <v>0</v>
      </c>
    </row>
    <row r="26" spans="1:9">
      <c r="A26" t="s">
        <v>892</v>
      </c>
      <c r="B26">
        <f>B23-B27</f>
        <v>94</v>
      </c>
    </row>
    <row r="27" spans="1:9">
      <c r="A27" t="s">
        <v>890</v>
      </c>
      <c r="B27">
        <f>COUNTIF(credentials!H$2:H$900000,"failed")</f>
        <v>10</v>
      </c>
      <c r="C27">
        <f>B27-D27</f>
        <v>10</v>
      </c>
      <c r="D27">
        <f>COUNTIFS(credentials!H$2:H$900000,"failed",credentials!A$2:A$900000,"New")</f>
        <v>0</v>
      </c>
      <c r="E27">
        <f t="shared" si="2"/>
        <v>0</v>
      </c>
      <c r="F27">
        <f>COUNTIFS(credentials!H$2:H$900000,"failed",credentials!A$2:A$900000,"Modified")</f>
        <v>10</v>
      </c>
      <c r="G27">
        <f t="shared" si="3"/>
        <v>10</v>
      </c>
      <c r="H27">
        <f>COUNTIFS(credentials!H$2:H$900000,"failed",credentials!A$2:A$900000,"Deleted")</f>
        <v>0</v>
      </c>
    </row>
    <row r="29" spans="1:9">
      <c r="A29" s="29" t="s">
        <v>893</v>
      </c>
      <c r="B29" s="29"/>
      <c r="C29" s="29"/>
      <c r="D29" s="29"/>
      <c r="E29" s="29"/>
      <c r="F29" s="29"/>
      <c r="G29" s="29"/>
      <c r="H29" s="29"/>
    </row>
    <row r="30" spans="1:9">
      <c r="B30" t="s">
        <v>876</v>
      </c>
      <c r="C30" t="s">
        <v>908</v>
      </c>
      <c r="D30" t="s">
        <v>909</v>
      </c>
      <c r="E30" t="s">
        <v>121</v>
      </c>
      <c r="I30" t="s">
        <v>910</v>
      </c>
    </row>
    <row r="31" spans="1:9">
      <c r="A31" t="s">
        <v>894</v>
      </c>
      <c r="B31">
        <f>B8</f>
        <v>37</v>
      </c>
      <c r="C31">
        <f>B31-D31</f>
        <v>32</v>
      </c>
      <c r="D31">
        <f>COUNTIF(controldefects!C$2:C$900000,A31)</f>
        <v>5</v>
      </c>
      <c r="E31">
        <f>COUNTIFS(controldefects!C$2:C$900000,A31,controldefects!A$2:A$900000,"New")</f>
        <v>5</v>
      </c>
      <c r="F31" t="str">
        <f>_xlfn.CONCAT(" + ",E31)</f>
        <v xml:space="preserve"> + 5</v>
      </c>
      <c r="I31" t="s">
        <v>769</v>
      </c>
    </row>
    <row r="32" spans="1:9">
      <c r="A32" t="s">
        <v>895</v>
      </c>
      <c r="B32">
        <f>B23</f>
        <v>104</v>
      </c>
      <c r="C32">
        <f t="shared" ref="C32:C44" si="4">B32-D32</f>
        <v>91</v>
      </c>
      <c r="D32">
        <f>COUNTIF(controldefects!C$2:C$900000,A32)</f>
        <v>13</v>
      </c>
      <c r="E32">
        <f>COUNTIFS(controldefects!C$2:C$900000,A32,controldefects!A$2:A$900000,"New")</f>
        <v>0</v>
      </c>
      <c r="F32" t="str">
        <f t="shared" ref="F32:F44" si="5">_xlfn.CONCAT(" + ",E32)</f>
        <v xml:space="preserve"> + 0</v>
      </c>
      <c r="I32" t="s">
        <v>838</v>
      </c>
    </row>
    <row r="33" spans="1:9">
      <c r="A33" t="s">
        <v>896</v>
      </c>
      <c r="B33">
        <f>B8</f>
        <v>37</v>
      </c>
      <c r="C33">
        <f t="shared" si="4"/>
        <v>36</v>
      </c>
      <c r="D33">
        <f>COUNTIF(controldefects!C$2:C$900000,A33)</f>
        <v>1</v>
      </c>
      <c r="E33">
        <f>COUNTIFS(controldefects!C$2:C$900000,A33,controldefects!A$2:A$900000,"New")</f>
        <v>0</v>
      </c>
      <c r="F33" t="str">
        <f t="shared" si="5"/>
        <v xml:space="preserve"> + 0</v>
      </c>
      <c r="I33" t="s">
        <v>834</v>
      </c>
    </row>
    <row r="34" spans="1:9">
      <c r="A34" t="s">
        <v>897</v>
      </c>
      <c r="B34">
        <f>B8</f>
        <v>37</v>
      </c>
      <c r="C34">
        <f t="shared" si="4"/>
        <v>31</v>
      </c>
      <c r="D34">
        <f>COUNTIF(controldefects!C$2:C$900000,A34)</f>
        <v>6</v>
      </c>
      <c r="E34">
        <f>COUNTIFS(controldefects!C$2:C$900000,A34,controldefects!A$2:A$900000,"New")</f>
        <v>0</v>
      </c>
      <c r="F34" t="str">
        <f t="shared" si="5"/>
        <v xml:space="preserve"> + 0</v>
      </c>
      <c r="I34" t="s">
        <v>737</v>
      </c>
    </row>
    <row r="35" spans="1:9">
      <c r="A35" t="s">
        <v>898</v>
      </c>
      <c r="B35">
        <f>B8</f>
        <v>37</v>
      </c>
      <c r="C35">
        <f t="shared" si="4"/>
        <v>3</v>
      </c>
      <c r="D35">
        <f>COUNTIF(controldefects!C$2:C$900000,A35)</f>
        <v>34</v>
      </c>
      <c r="E35">
        <f>COUNTIFS(controldefects!C$2:C$900000,A35,controldefects!A$2:A$900000,"New")</f>
        <v>23</v>
      </c>
      <c r="F35" t="str">
        <f t="shared" si="5"/>
        <v xml:space="preserve"> + 23</v>
      </c>
      <c r="I35" t="s">
        <v>826</v>
      </c>
    </row>
    <row r="36" spans="1:9">
      <c r="A36" t="s">
        <v>899</v>
      </c>
      <c r="B36">
        <f>B8</f>
        <v>37</v>
      </c>
      <c r="C36">
        <f t="shared" si="4"/>
        <v>13</v>
      </c>
      <c r="D36">
        <f>COUNTIF(controldefects!C$2:C$900000,A36)</f>
        <v>24</v>
      </c>
      <c r="E36">
        <f>COUNTIFS(controldefects!C$2:C$900000,A36,controldefects!A$2:A$900000,"New")</f>
        <v>17</v>
      </c>
      <c r="F36" t="str">
        <f t="shared" si="5"/>
        <v xml:space="preserve"> + 17</v>
      </c>
      <c r="I36" t="s">
        <v>830</v>
      </c>
    </row>
    <row r="37" spans="1:9">
      <c r="A37" t="s">
        <v>900</v>
      </c>
      <c r="B37">
        <f>B14</f>
        <v>3</v>
      </c>
      <c r="C37">
        <f t="shared" si="4"/>
        <v>2</v>
      </c>
      <c r="D37">
        <f>COUNTIF(controldefects!C$2:C$900000,A37)</f>
        <v>1</v>
      </c>
      <c r="E37">
        <f>COUNTIFS(controldefects!C$2:C$900000,A37,controldefects!A$2:A$900000,"New")</f>
        <v>1</v>
      </c>
      <c r="F37" t="str">
        <f t="shared" si="5"/>
        <v xml:space="preserve"> + 1</v>
      </c>
      <c r="I37" t="s">
        <v>823</v>
      </c>
    </row>
    <row r="38" spans="1:9">
      <c r="A38" t="s">
        <v>901</v>
      </c>
      <c r="B38">
        <f>B14</f>
        <v>3</v>
      </c>
      <c r="C38">
        <f t="shared" si="4"/>
        <v>2</v>
      </c>
      <c r="D38">
        <f>COUNTIF(controldefects!C$2:C$900000,A38)</f>
        <v>1</v>
      </c>
      <c r="E38">
        <f>COUNTIFS(controldefects!C$2:C$900000,A38,controldefects!A$2:A$900000,"New")</f>
        <v>1</v>
      </c>
      <c r="F38" t="str">
        <f t="shared" si="5"/>
        <v xml:space="preserve"> + 1</v>
      </c>
      <c r="I38" t="s">
        <v>765</v>
      </c>
    </row>
    <row r="39" spans="1:9">
      <c r="A39" t="s">
        <v>902</v>
      </c>
      <c r="B39">
        <f>B8</f>
        <v>37</v>
      </c>
      <c r="C39">
        <f t="shared" si="4"/>
        <v>28</v>
      </c>
      <c r="D39">
        <f>COUNTIF(controldefects!C$2:C$900000,A39)</f>
        <v>9</v>
      </c>
      <c r="E39">
        <f>COUNTIFS(controldefects!C$2:C$900000,A39,controldefects!A$2:A$900000,"New")</f>
        <v>4</v>
      </c>
      <c r="F39" t="str">
        <f t="shared" si="5"/>
        <v xml:space="preserve"> + 4</v>
      </c>
      <c r="I39" t="s">
        <v>753</v>
      </c>
    </row>
    <row r="40" spans="1:9">
      <c r="A40" t="s">
        <v>903</v>
      </c>
      <c r="D40">
        <f>COUNTIF(controldefects!C$2:C$900000,A40)</f>
        <v>0</v>
      </c>
      <c r="E40">
        <f>COUNTIFS(controldefects!C$2:C$900000,A40,controldefects!A$2:A$900000,"New")</f>
        <v>0</v>
      </c>
      <c r="F40" t="str">
        <f t="shared" si="5"/>
        <v xml:space="preserve"> + 0</v>
      </c>
      <c r="I40" t="s">
        <v>911</v>
      </c>
    </row>
    <row r="41" spans="1:9">
      <c r="A41" t="s">
        <v>904</v>
      </c>
      <c r="B41">
        <f>B18</f>
        <v>10</v>
      </c>
      <c r="C41">
        <f t="shared" si="4"/>
        <v>9</v>
      </c>
      <c r="D41">
        <f>COUNTIF(controldefects!C$2:C$900000,A41)</f>
        <v>1</v>
      </c>
      <c r="E41">
        <f>COUNTIFS(controldefects!C$2:C$900000,A41,controldefects!A$2:A$900000,"New")</f>
        <v>0</v>
      </c>
      <c r="F41" t="str">
        <f t="shared" si="5"/>
        <v xml:space="preserve"> + 0</v>
      </c>
      <c r="I41" t="s">
        <v>720</v>
      </c>
    </row>
    <row r="42" spans="1:9">
      <c r="A42" t="s">
        <v>905</v>
      </c>
      <c r="B42">
        <f>B18</f>
        <v>10</v>
      </c>
      <c r="C42">
        <f t="shared" si="4"/>
        <v>10</v>
      </c>
      <c r="D42">
        <f>COUNTIF(controldefects!C$2:C$900000,A42)</f>
        <v>0</v>
      </c>
      <c r="E42">
        <f>COUNTIFS(controldefects!C$2:C$900000,A42,controldefects!A$2:A$900000,"New")</f>
        <v>0</v>
      </c>
      <c r="F42" t="str">
        <f t="shared" si="5"/>
        <v xml:space="preserve"> + 0</v>
      </c>
      <c r="I42" t="s">
        <v>912</v>
      </c>
    </row>
    <row r="43" spans="1:9">
      <c r="A43" t="s">
        <v>906</v>
      </c>
      <c r="B43">
        <f>B4</f>
        <v>2</v>
      </c>
      <c r="C43">
        <f t="shared" si="4"/>
        <v>2</v>
      </c>
      <c r="D43">
        <f>COUNTIF(controldefects!C$2:C$900000,A43)</f>
        <v>0</v>
      </c>
      <c r="E43">
        <f>COUNTIFS(controldefects!C$2:C$900000,A43,controldefects!A$2:A$900000,"New")</f>
        <v>0</v>
      </c>
      <c r="F43" t="str">
        <f t="shared" si="5"/>
        <v xml:space="preserve"> + 0</v>
      </c>
      <c r="I43" t="s">
        <v>866</v>
      </c>
    </row>
    <row r="44" spans="1:9">
      <c r="A44" t="s">
        <v>907</v>
      </c>
      <c r="B44">
        <f>B4</f>
        <v>2</v>
      </c>
      <c r="C44">
        <f t="shared" si="4"/>
        <v>2</v>
      </c>
      <c r="D44">
        <f>COUNTIF(controldefects!C$2:C$900000,A44)</f>
        <v>0</v>
      </c>
      <c r="E44">
        <f>COUNTIFS(controldefects!C$2:C$900000,A44,controldefects!A$2:A$900000,"New")</f>
        <v>0</v>
      </c>
      <c r="F44" t="str">
        <f t="shared" si="5"/>
        <v xml:space="preserve"> + 0</v>
      </c>
      <c r="I44" t="s">
        <v>865</v>
      </c>
    </row>
  </sheetData>
  <mergeCells count="5">
    <mergeCell ref="A16:H16"/>
    <mergeCell ref="A21:H21"/>
    <mergeCell ref="A6:H6"/>
    <mergeCell ref="A1:H1"/>
    <mergeCell ref="A29:H29"/>
  </mergeCells>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4"/>
  <sheetViews>
    <sheetView workbookViewId="0">
      <pane xSplit="4" ySplit="1" topLeftCell="E2" activePane="bottomRight" state="frozen"/>
      <selection pane="topRight"/>
      <selection pane="bottomLeft"/>
      <selection pane="bottomRight" activeCell="B12" sqref="B12"/>
    </sheetView>
  </sheetViews>
  <sheetFormatPr baseColWidth="10" defaultColWidth="9.140625" defaultRowHeight="15"/>
  <cols>
    <col min="1" max="1" width="14.140625" customWidth="1"/>
    <col min="2" max="4" width="21.28515625" customWidth="1"/>
    <col min="5" max="25" width="30.85546875" customWidth="1"/>
  </cols>
  <sheetData>
    <row r="1" spans="1:25">
      <c r="A1" s="1" t="s">
        <v>1</v>
      </c>
      <c r="B1" s="1" t="s">
        <v>2</v>
      </c>
      <c r="C1" s="1" t="s">
        <v>3</v>
      </c>
      <c r="D1" s="1" t="s">
        <v>4</v>
      </c>
      <c r="E1" s="1" t="s">
        <v>5</v>
      </c>
      <c r="F1" s="1" t="s">
        <v>6</v>
      </c>
      <c r="G1" s="1" t="s">
        <v>7</v>
      </c>
      <c r="H1" s="1" t="s">
        <v>8</v>
      </c>
      <c r="I1" s="1" t="s">
        <v>9</v>
      </c>
      <c r="J1" s="1" t="s">
        <v>10</v>
      </c>
      <c r="K1" s="1" t="s">
        <v>11</v>
      </c>
      <c r="L1" s="1" t="s">
        <v>12</v>
      </c>
      <c r="M1" s="1" t="s">
        <v>13</v>
      </c>
      <c r="N1" s="1" t="s">
        <v>14</v>
      </c>
      <c r="O1" s="1" t="s">
        <v>15</v>
      </c>
      <c r="P1" s="1" t="s">
        <v>16</v>
      </c>
      <c r="Q1" s="1" t="s">
        <v>17</v>
      </c>
      <c r="R1" s="1" t="s">
        <v>18</v>
      </c>
      <c r="S1" s="1" t="s">
        <v>19</v>
      </c>
      <c r="T1" s="1" t="s">
        <v>20</v>
      </c>
      <c r="U1" s="1" t="s">
        <v>21</v>
      </c>
      <c r="V1" s="1" t="s">
        <v>22</v>
      </c>
      <c r="W1" s="1" t="s">
        <v>23</v>
      </c>
      <c r="X1" s="1" t="s">
        <v>24</v>
      </c>
      <c r="Y1" s="1" t="s">
        <v>25</v>
      </c>
    </row>
    <row r="2" spans="1:25">
      <c r="A2" s="2" t="s">
        <v>26</v>
      </c>
      <c r="B2" s="2" t="s">
        <v>27</v>
      </c>
      <c r="C2" s="2" t="s">
        <v>28</v>
      </c>
      <c r="D2" s="2" t="s">
        <v>29</v>
      </c>
      <c r="E2" s="2" t="s">
        <v>30</v>
      </c>
      <c r="F2" s="2" t="s">
        <v>0</v>
      </c>
      <c r="G2" s="2" t="s">
        <v>0</v>
      </c>
      <c r="H2" s="2" t="s">
        <v>0</v>
      </c>
      <c r="I2" s="3">
        <v>104</v>
      </c>
      <c r="J2" s="3">
        <v>91</v>
      </c>
      <c r="K2" s="3">
        <v>13</v>
      </c>
      <c r="L2" s="3">
        <v>10</v>
      </c>
      <c r="M2" s="3">
        <v>1</v>
      </c>
      <c r="N2" s="3">
        <v>22</v>
      </c>
      <c r="O2" s="3">
        <v>34</v>
      </c>
      <c r="P2" s="3">
        <v>12</v>
      </c>
      <c r="Q2" s="3">
        <v>12</v>
      </c>
      <c r="R2" s="3">
        <v>0</v>
      </c>
      <c r="S2" s="3">
        <v>0</v>
      </c>
      <c r="T2" s="3">
        <v>0</v>
      </c>
      <c r="U2" s="3">
        <v>10</v>
      </c>
      <c r="V2" s="3">
        <v>8</v>
      </c>
      <c r="W2" s="3">
        <v>0</v>
      </c>
      <c r="X2" s="3">
        <v>18</v>
      </c>
      <c r="Y2" s="2" t="s">
        <v>0</v>
      </c>
    </row>
    <row r="3" spans="1:25">
      <c r="A3" s="2" t="s">
        <v>26</v>
      </c>
      <c r="B3" s="2" t="s">
        <v>27</v>
      </c>
      <c r="C3" s="2" t="s">
        <v>28</v>
      </c>
      <c r="D3" s="2" t="s">
        <v>29</v>
      </c>
      <c r="E3" s="2" t="s">
        <v>30</v>
      </c>
      <c r="F3" s="2" t="s">
        <v>0</v>
      </c>
      <c r="G3" s="2" t="s">
        <v>0</v>
      </c>
      <c r="H3" s="2" t="s">
        <v>0</v>
      </c>
      <c r="I3" s="3">
        <v>104</v>
      </c>
      <c r="J3" s="3">
        <v>91</v>
      </c>
      <c r="K3" s="3">
        <v>13</v>
      </c>
      <c r="L3" s="3">
        <v>10</v>
      </c>
      <c r="M3" s="3">
        <v>1</v>
      </c>
      <c r="N3" s="3">
        <v>22</v>
      </c>
      <c r="O3" s="3">
        <v>34</v>
      </c>
      <c r="P3" s="3">
        <v>12</v>
      </c>
      <c r="Q3" s="3">
        <v>12</v>
      </c>
      <c r="R3" s="3">
        <v>0</v>
      </c>
      <c r="S3" s="3">
        <v>0</v>
      </c>
      <c r="T3" s="3">
        <v>0</v>
      </c>
      <c r="U3" s="3">
        <v>10</v>
      </c>
      <c r="V3" s="3">
        <v>8</v>
      </c>
      <c r="W3" s="3">
        <v>0</v>
      </c>
      <c r="X3" s="3">
        <v>18</v>
      </c>
      <c r="Y3" s="2" t="s">
        <v>0</v>
      </c>
    </row>
    <row r="4" spans="1:25">
      <c r="A4" s="4"/>
      <c r="B4" s="5" t="s">
        <v>0</v>
      </c>
      <c r="C4" s="5" t="s">
        <v>0</v>
      </c>
      <c r="D4" s="5" t="s">
        <v>0</v>
      </c>
      <c r="E4" s="5" t="s">
        <v>0</v>
      </c>
      <c r="F4" s="5" t="s">
        <v>0</v>
      </c>
      <c r="G4" s="5" t="s">
        <v>0</v>
      </c>
      <c r="H4" s="5" t="s">
        <v>0</v>
      </c>
      <c r="I4" s="5" t="s">
        <v>0</v>
      </c>
      <c r="J4" s="5" t="s">
        <v>0</v>
      </c>
      <c r="K4" s="5" t="s">
        <v>0</v>
      </c>
      <c r="L4" s="5" t="s">
        <v>0</v>
      </c>
      <c r="M4" s="5" t="s">
        <v>0</v>
      </c>
      <c r="N4" s="5" t="s">
        <v>0</v>
      </c>
      <c r="O4" s="5" t="s">
        <v>0</v>
      </c>
      <c r="P4" s="5" t="s">
        <v>0</v>
      </c>
      <c r="Q4" s="5" t="s">
        <v>0</v>
      </c>
      <c r="R4" s="5" t="s">
        <v>0</v>
      </c>
      <c r="S4" s="5" t="s">
        <v>0</v>
      </c>
      <c r="T4" s="5" t="s">
        <v>0</v>
      </c>
      <c r="U4" s="5" t="s">
        <v>0</v>
      </c>
      <c r="V4" s="5" t="s">
        <v>0</v>
      </c>
      <c r="W4" s="5" t="s">
        <v>0</v>
      </c>
      <c r="X4" s="5" t="s">
        <v>0</v>
      </c>
      <c r="Y4" s="5" t="s">
        <v>0</v>
      </c>
    </row>
  </sheetData>
  <autoFilter ref="A1:Y4" xr:uid="{00000000-0009-0000-0000-000000000000}"/>
  <pageMargins left="0.25" right="0.25" top="0.25" bottom="0.25" header="0.3" footer="0.3"/>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I39"/>
  <sheetViews>
    <sheetView workbookViewId="0">
      <pane xSplit="4" ySplit="1" topLeftCell="E2" activePane="bottomRight" state="frozen"/>
      <selection pane="topRight"/>
      <selection pane="bottomLeft"/>
      <selection pane="bottomRight"/>
    </sheetView>
  </sheetViews>
  <sheetFormatPr baseColWidth="10" defaultColWidth="9.140625" defaultRowHeight="15"/>
  <cols>
    <col min="1" max="2" width="14.140625" customWidth="1"/>
    <col min="3" max="3" width="21.28515625" customWidth="1"/>
    <col min="4" max="4" width="14.140625" customWidth="1"/>
    <col min="5" max="21" width="27.28515625" customWidth="1"/>
    <col min="22" max="22" width="27.42578125" customWidth="1"/>
    <col min="23" max="61" width="27.28515625" customWidth="1"/>
  </cols>
  <sheetData>
    <row r="1" spans="1:61" ht="22.5">
      <c r="A1" s="1" t="s">
        <v>1</v>
      </c>
      <c r="B1" s="1" t="s">
        <v>32</v>
      </c>
      <c r="C1" s="1" t="s">
        <v>33</v>
      </c>
      <c r="D1" s="1" t="s">
        <v>34</v>
      </c>
      <c r="E1" s="1" t="s">
        <v>35</v>
      </c>
      <c r="F1" s="1" t="s">
        <v>36</v>
      </c>
      <c r="G1" s="1" t="s">
        <v>37</v>
      </c>
      <c r="H1" s="1" t="s">
        <v>38</v>
      </c>
      <c r="I1" s="1" t="s">
        <v>39</v>
      </c>
      <c r="J1" s="1" t="s">
        <v>40</v>
      </c>
      <c r="K1" s="1" t="s">
        <v>41</v>
      </c>
      <c r="L1" s="1" t="s">
        <v>42</v>
      </c>
      <c r="M1" s="1" t="s">
        <v>43</v>
      </c>
      <c r="N1" s="1" t="s">
        <v>44</v>
      </c>
      <c r="O1" s="1" t="s">
        <v>45</v>
      </c>
      <c r="P1" s="1" t="s">
        <v>46</v>
      </c>
      <c r="Q1" s="1" t="s">
        <v>47</v>
      </c>
      <c r="R1" s="1" t="s">
        <v>48</v>
      </c>
      <c r="S1" s="1" t="s">
        <v>49</v>
      </c>
      <c r="T1" s="1" t="s">
        <v>50</v>
      </c>
      <c r="U1" s="1" t="s">
        <v>51</v>
      </c>
      <c r="V1" s="1" t="s">
        <v>52</v>
      </c>
      <c r="W1" s="1" t="s">
        <v>53</v>
      </c>
      <c r="X1" s="1" t="s">
        <v>54</v>
      </c>
      <c r="Y1" s="1" t="s">
        <v>55</v>
      </c>
      <c r="Z1" s="1" t="s">
        <v>56</v>
      </c>
      <c r="AA1" s="1" t="s">
        <v>57</v>
      </c>
      <c r="AB1" s="1" t="s">
        <v>58</v>
      </c>
      <c r="AC1" s="1" t="s">
        <v>59</v>
      </c>
      <c r="AD1" s="1" t="s">
        <v>60</v>
      </c>
      <c r="AE1" s="1" t="s">
        <v>61</v>
      </c>
      <c r="AF1" s="1" t="s">
        <v>62</v>
      </c>
      <c r="AG1" s="1" t="s">
        <v>63</v>
      </c>
      <c r="AH1" s="1" t="s">
        <v>64</v>
      </c>
      <c r="AI1" s="1" t="s">
        <v>65</v>
      </c>
      <c r="AJ1" s="1" t="s">
        <v>66</v>
      </c>
      <c r="AK1" s="1" t="s">
        <v>67</v>
      </c>
      <c r="AL1" s="1" t="s">
        <v>68</v>
      </c>
      <c r="AM1" s="1" t="s">
        <v>69</v>
      </c>
      <c r="AN1" s="1" t="s">
        <v>70</v>
      </c>
      <c r="AO1" s="1" t="s">
        <v>71</v>
      </c>
      <c r="AP1" s="1" t="s">
        <v>72</v>
      </c>
      <c r="AQ1" s="1" t="s">
        <v>73</v>
      </c>
      <c r="AR1" s="1" t="s">
        <v>74</v>
      </c>
      <c r="AS1" s="1" t="s">
        <v>75</v>
      </c>
      <c r="AT1" s="1" t="s">
        <v>76</v>
      </c>
      <c r="AU1" s="1" t="s">
        <v>77</v>
      </c>
      <c r="AV1" s="1" t="s">
        <v>78</v>
      </c>
      <c r="AW1" s="1" t="s">
        <v>79</v>
      </c>
      <c r="AX1" s="1" t="s">
        <v>80</v>
      </c>
      <c r="AY1" s="1" t="s">
        <v>81</v>
      </c>
      <c r="AZ1" s="1" t="s">
        <v>82</v>
      </c>
      <c r="BA1" s="1" t="s">
        <v>83</v>
      </c>
      <c r="BB1" s="1" t="s">
        <v>84</v>
      </c>
      <c r="BC1" s="1" t="s">
        <v>85</v>
      </c>
      <c r="BD1" s="1" t="s">
        <v>86</v>
      </c>
      <c r="BE1" s="1" t="s">
        <v>87</v>
      </c>
      <c r="BF1" s="1" t="s">
        <v>88</v>
      </c>
      <c r="BG1" s="1" t="s">
        <v>89</v>
      </c>
      <c r="BH1" s="1" t="s">
        <v>90</v>
      </c>
      <c r="BI1" s="1" t="s">
        <v>91</v>
      </c>
    </row>
    <row r="2" spans="1:61" ht="33.75">
      <c r="A2" s="2" t="s">
        <v>92</v>
      </c>
      <c r="B2" s="2" t="s">
        <v>93</v>
      </c>
      <c r="C2" s="2" t="s">
        <v>94</v>
      </c>
      <c r="D2" s="2" t="s">
        <v>95</v>
      </c>
      <c r="E2" s="2" t="s">
        <v>96</v>
      </c>
      <c r="F2" s="2" t="s">
        <v>97</v>
      </c>
      <c r="G2" s="2" t="s">
        <v>97</v>
      </c>
      <c r="H2" s="2" t="s">
        <v>98</v>
      </c>
      <c r="I2" s="2" t="s">
        <v>99</v>
      </c>
      <c r="J2" s="2" t="s">
        <v>0</v>
      </c>
      <c r="K2" s="2" t="s">
        <v>100</v>
      </c>
      <c r="L2" s="2" t="s">
        <v>0</v>
      </c>
      <c r="M2" s="3">
        <v>0</v>
      </c>
      <c r="N2" s="2" t="s">
        <v>0</v>
      </c>
      <c r="O2" s="2" t="s">
        <v>0</v>
      </c>
      <c r="P2" s="6">
        <v>42298</v>
      </c>
      <c r="Q2" s="2" t="s">
        <v>0</v>
      </c>
      <c r="R2" s="2" t="s">
        <v>101</v>
      </c>
      <c r="S2" s="2" t="s">
        <v>101</v>
      </c>
      <c r="T2" s="3">
        <v>0</v>
      </c>
      <c r="U2" s="2" t="s">
        <v>102</v>
      </c>
      <c r="V2" s="2" t="s">
        <v>101</v>
      </c>
      <c r="W2" s="2" t="s">
        <v>101</v>
      </c>
      <c r="X2" s="2" t="s">
        <v>101</v>
      </c>
      <c r="Y2" s="2" t="s">
        <v>0</v>
      </c>
      <c r="Z2" s="2" t="s">
        <v>0</v>
      </c>
      <c r="AA2" s="2" t="s">
        <v>103</v>
      </c>
      <c r="AB2" s="6">
        <v>44774</v>
      </c>
      <c r="AC2" s="2" t="s">
        <v>104</v>
      </c>
      <c r="AD2" s="2" t="s">
        <v>105</v>
      </c>
      <c r="AE2" s="2" t="s">
        <v>106</v>
      </c>
      <c r="AF2" s="6">
        <v>44774</v>
      </c>
      <c r="AG2" s="2" t="s">
        <v>0</v>
      </c>
      <c r="AH2" s="2" t="s">
        <v>0</v>
      </c>
      <c r="AI2" s="2" t="s">
        <v>0</v>
      </c>
      <c r="AJ2" s="2" t="s">
        <v>0</v>
      </c>
      <c r="AK2" s="2" t="s">
        <v>0</v>
      </c>
      <c r="AL2" s="2" t="s">
        <v>0</v>
      </c>
      <c r="AM2" s="2" t="s">
        <v>0</v>
      </c>
      <c r="AN2" s="2" t="s">
        <v>0</v>
      </c>
      <c r="AO2" s="2" t="s">
        <v>0</v>
      </c>
      <c r="AP2" s="2" t="s">
        <v>102</v>
      </c>
      <c r="AQ2" s="2" t="s">
        <v>102</v>
      </c>
      <c r="AR2" s="3">
        <v>2</v>
      </c>
      <c r="AS2" s="3">
        <v>4</v>
      </c>
      <c r="AT2" s="3">
        <v>12</v>
      </c>
      <c r="AU2" s="3">
        <v>20</v>
      </c>
      <c r="AV2" s="3">
        <v>14</v>
      </c>
      <c r="AW2" s="3">
        <v>7</v>
      </c>
      <c r="AX2" s="3">
        <v>14</v>
      </c>
      <c r="AY2" s="3">
        <v>16</v>
      </c>
      <c r="AZ2" s="3">
        <v>73</v>
      </c>
      <c r="BA2" s="3">
        <v>452</v>
      </c>
      <c r="BB2" s="3">
        <v>379</v>
      </c>
      <c r="BC2" s="3">
        <v>136</v>
      </c>
      <c r="BD2" s="3">
        <v>62</v>
      </c>
      <c r="BE2" s="3">
        <v>102</v>
      </c>
      <c r="BF2" s="3">
        <v>4</v>
      </c>
      <c r="BG2" s="3">
        <v>1</v>
      </c>
      <c r="BH2" s="3">
        <v>0</v>
      </c>
      <c r="BI2" s="3">
        <v>22</v>
      </c>
    </row>
    <row r="3" spans="1:61" ht="33.75">
      <c r="A3" s="2" t="s">
        <v>92</v>
      </c>
      <c r="B3" s="2" t="s">
        <v>93</v>
      </c>
      <c r="C3" s="2" t="s">
        <v>107</v>
      </c>
      <c r="D3" s="2" t="s">
        <v>108</v>
      </c>
      <c r="E3" s="2" t="s">
        <v>109</v>
      </c>
      <c r="F3" s="2" t="s">
        <v>97</v>
      </c>
      <c r="G3" s="2" t="s">
        <v>97</v>
      </c>
      <c r="H3" s="2" t="s">
        <v>98</v>
      </c>
      <c r="I3" s="2" t="s">
        <v>110</v>
      </c>
      <c r="J3" s="2" t="s">
        <v>0</v>
      </c>
      <c r="K3" s="2" t="s">
        <v>111</v>
      </c>
      <c r="L3" s="2" t="s">
        <v>0</v>
      </c>
      <c r="M3" s="3">
        <v>0</v>
      </c>
      <c r="N3" s="2" t="s">
        <v>0</v>
      </c>
      <c r="O3" s="2" t="s">
        <v>0</v>
      </c>
      <c r="P3" s="6">
        <v>42298</v>
      </c>
      <c r="Q3" s="2" t="s">
        <v>0</v>
      </c>
      <c r="R3" s="2" t="s">
        <v>101</v>
      </c>
      <c r="S3" s="2" t="s">
        <v>101</v>
      </c>
      <c r="T3" s="3">
        <v>0</v>
      </c>
      <c r="U3" s="2" t="s">
        <v>102</v>
      </c>
      <c r="V3" s="2" t="s">
        <v>101</v>
      </c>
      <c r="W3" s="2" t="s">
        <v>101</v>
      </c>
      <c r="X3" s="2" t="s">
        <v>101</v>
      </c>
      <c r="Y3" s="2" t="s">
        <v>0</v>
      </c>
      <c r="Z3" s="2" t="s">
        <v>0</v>
      </c>
      <c r="AA3" s="2" t="s">
        <v>0</v>
      </c>
      <c r="AB3" s="2" t="s">
        <v>0</v>
      </c>
      <c r="AC3" s="2" t="s">
        <v>104</v>
      </c>
      <c r="AD3" s="2" t="s">
        <v>104</v>
      </c>
      <c r="AE3" s="2" t="s">
        <v>104</v>
      </c>
      <c r="AF3" s="6">
        <v>44774</v>
      </c>
      <c r="AG3" s="2" t="s">
        <v>112</v>
      </c>
      <c r="AH3" s="2" t="s">
        <v>109</v>
      </c>
      <c r="AI3" s="2" t="s">
        <v>110</v>
      </c>
      <c r="AJ3" s="2" t="s">
        <v>113</v>
      </c>
      <c r="AK3" s="2">
        <v>1</v>
      </c>
      <c r="AL3" s="2" t="s">
        <v>102</v>
      </c>
      <c r="AM3" s="2" t="s">
        <v>111</v>
      </c>
      <c r="AN3" s="6">
        <v>40113</v>
      </c>
      <c r="AO3" s="2" t="s">
        <v>0</v>
      </c>
      <c r="AP3" s="2" t="s">
        <v>102</v>
      </c>
      <c r="AQ3" s="2" t="s">
        <v>102</v>
      </c>
      <c r="AR3" s="3">
        <v>15</v>
      </c>
      <c r="AS3" s="3">
        <v>3</v>
      </c>
      <c r="AT3" s="3">
        <v>10</v>
      </c>
      <c r="AU3" s="3">
        <v>27</v>
      </c>
      <c r="AV3" s="3">
        <v>15</v>
      </c>
      <c r="AW3" s="3">
        <v>8</v>
      </c>
      <c r="AX3" s="3">
        <v>19</v>
      </c>
      <c r="AY3" s="3">
        <v>21</v>
      </c>
      <c r="AZ3" s="3">
        <v>77</v>
      </c>
      <c r="BA3" s="3">
        <v>457</v>
      </c>
      <c r="BB3" s="3">
        <v>380</v>
      </c>
      <c r="BC3" s="3">
        <v>141</v>
      </c>
      <c r="BD3" s="3">
        <v>66</v>
      </c>
      <c r="BE3" s="3">
        <v>103</v>
      </c>
      <c r="BF3" s="3">
        <v>5</v>
      </c>
      <c r="BG3" s="3">
        <v>1</v>
      </c>
      <c r="BH3" s="3">
        <v>0</v>
      </c>
      <c r="BI3" s="3">
        <v>36</v>
      </c>
    </row>
    <row r="4" spans="1:61" ht="33.75">
      <c r="A4" s="2" t="s">
        <v>26</v>
      </c>
      <c r="B4" s="2" t="s">
        <v>93</v>
      </c>
      <c r="C4" s="2" t="s">
        <v>114</v>
      </c>
      <c r="D4" s="2" t="s">
        <v>115</v>
      </c>
      <c r="E4" s="2" t="s">
        <v>116</v>
      </c>
      <c r="F4" s="2" t="s">
        <v>97</v>
      </c>
      <c r="G4" s="2" t="s">
        <v>97</v>
      </c>
      <c r="H4" s="2" t="s">
        <v>98</v>
      </c>
      <c r="I4" s="2" t="s">
        <v>117</v>
      </c>
      <c r="J4" s="2" t="s">
        <v>0</v>
      </c>
      <c r="K4" s="2" t="s">
        <v>118</v>
      </c>
      <c r="L4" s="2" t="s">
        <v>0</v>
      </c>
      <c r="M4" s="3">
        <v>0</v>
      </c>
      <c r="N4" s="2" t="s">
        <v>0</v>
      </c>
      <c r="O4" s="2" t="s">
        <v>0</v>
      </c>
      <c r="P4" s="6">
        <v>42298</v>
      </c>
      <c r="Q4" s="2" t="s">
        <v>0</v>
      </c>
      <c r="R4" s="2" t="s">
        <v>101</v>
      </c>
      <c r="S4" s="2" t="s">
        <v>101</v>
      </c>
      <c r="T4" s="3">
        <v>0</v>
      </c>
      <c r="U4" s="2" t="s">
        <v>102</v>
      </c>
      <c r="V4" s="2" t="s">
        <v>101</v>
      </c>
      <c r="W4" s="2" t="s">
        <v>101</v>
      </c>
      <c r="X4" s="2" t="s">
        <v>101</v>
      </c>
      <c r="Y4" s="2" t="s">
        <v>0</v>
      </c>
      <c r="Z4" s="2" t="s">
        <v>0</v>
      </c>
      <c r="AA4" s="2" t="s">
        <v>0</v>
      </c>
      <c r="AB4" s="2" t="s">
        <v>0</v>
      </c>
      <c r="AC4" s="2" t="s">
        <v>104</v>
      </c>
      <c r="AD4" s="2" t="s">
        <v>104</v>
      </c>
      <c r="AE4" s="2" t="s">
        <v>104</v>
      </c>
      <c r="AF4" s="6">
        <v>44774</v>
      </c>
      <c r="AG4" s="2" t="s">
        <v>119</v>
      </c>
      <c r="AH4" s="2" t="s">
        <v>116</v>
      </c>
      <c r="AI4" s="2" t="s">
        <v>117</v>
      </c>
      <c r="AJ4" s="2" t="s">
        <v>120</v>
      </c>
      <c r="AK4" s="2">
        <v>1</v>
      </c>
      <c r="AL4" s="2" t="s">
        <v>102</v>
      </c>
      <c r="AM4" s="2" t="s">
        <v>118</v>
      </c>
      <c r="AN4" s="6">
        <v>38721</v>
      </c>
      <c r="AO4" s="2" t="s">
        <v>0</v>
      </c>
      <c r="AP4" s="2" t="s">
        <v>102</v>
      </c>
      <c r="AQ4" s="2" t="s">
        <v>102</v>
      </c>
      <c r="AR4" s="3">
        <v>13</v>
      </c>
      <c r="AS4" s="3">
        <v>3</v>
      </c>
      <c r="AT4" s="3">
        <v>11</v>
      </c>
      <c r="AU4" s="3">
        <v>46</v>
      </c>
      <c r="AV4" s="3">
        <v>15</v>
      </c>
      <c r="AW4" s="3">
        <v>25</v>
      </c>
      <c r="AX4" s="3">
        <v>38</v>
      </c>
      <c r="AY4" s="3">
        <v>33</v>
      </c>
      <c r="AZ4" s="3">
        <v>63</v>
      </c>
      <c r="BA4" s="3">
        <v>382</v>
      </c>
      <c r="BB4" s="3">
        <v>319</v>
      </c>
      <c r="BC4" s="3">
        <v>121</v>
      </c>
      <c r="BD4" s="3">
        <v>57</v>
      </c>
      <c r="BE4" s="3">
        <v>88</v>
      </c>
      <c r="BF4" s="3">
        <v>6</v>
      </c>
      <c r="BG4" s="3">
        <v>19</v>
      </c>
      <c r="BH4" s="3">
        <v>0</v>
      </c>
      <c r="BI4" s="3">
        <v>23</v>
      </c>
    </row>
    <row r="5" spans="1:61" ht="33.75">
      <c r="A5" s="2" t="s">
        <v>121</v>
      </c>
      <c r="B5" s="2" t="s">
        <v>93</v>
      </c>
      <c r="C5" s="2" t="s">
        <v>122</v>
      </c>
      <c r="D5" s="2" t="s">
        <v>123</v>
      </c>
      <c r="E5" s="2" t="s">
        <v>124</v>
      </c>
      <c r="F5" s="2" t="s">
        <v>97</v>
      </c>
      <c r="G5" s="2" t="s">
        <v>97</v>
      </c>
      <c r="H5" s="2" t="s">
        <v>98</v>
      </c>
      <c r="I5" s="2" t="s">
        <v>125</v>
      </c>
      <c r="J5" s="2" t="s">
        <v>0</v>
      </c>
      <c r="K5" s="2" t="s">
        <v>126</v>
      </c>
      <c r="L5" s="2" t="s">
        <v>0</v>
      </c>
      <c r="M5" s="3">
        <v>0</v>
      </c>
      <c r="N5" s="2" t="s">
        <v>0</v>
      </c>
      <c r="O5" s="2" t="s">
        <v>0</v>
      </c>
      <c r="P5" s="6">
        <v>42298</v>
      </c>
      <c r="Q5" s="2" t="s">
        <v>0</v>
      </c>
      <c r="R5" s="2" t="s">
        <v>101</v>
      </c>
      <c r="S5" s="2" t="s">
        <v>101</v>
      </c>
      <c r="T5" s="3">
        <v>0</v>
      </c>
      <c r="U5" s="2" t="s">
        <v>102</v>
      </c>
      <c r="V5" s="2" t="s">
        <v>101</v>
      </c>
      <c r="W5" s="2" t="s">
        <v>101</v>
      </c>
      <c r="X5" s="2" t="s">
        <v>101</v>
      </c>
      <c r="Y5" s="2" t="s">
        <v>0</v>
      </c>
      <c r="Z5" s="2" t="s">
        <v>0</v>
      </c>
      <c r="AA5" s="2" t="s">
        <v>0</v>
      </c>
      <c r="AB5" s="2" t="s">
        <v>0</v>
      </c>
      <c r="AC5" s="2" t="s">
        <v>104</v>
      </c>
      <c r="AD5" s="2" t="s">
        <v>104</v>
      </c>
      <c r="AE5" s="2" t="s">
        <v>104</v>
      </c>
      <c r="AF5" s="6">
        <v>44774</v>
      </c>
      <c r="AG5" s="2" t="s">
        <v>127</v>
      </c>
      <c r="AH5" s="2" t="s">
        <v>124</v>
      </c>
      <c r="AI5" s="2" t="s">
        <v>125</v>
      </c>
      <c r="AJ5" s="2" t="s">
        <v>128</v>
      </c>
      <c r="AK5" s="2">
        <v>1</v>
      </c>
      <c r="AL5" s="2" t="s">
        <v>102</v>
      </c>
      <c r="AM5" s="2" t="s">
        <v>126</v>
      </c>
      <c r="AN5" s="6">
        <v>38085</v>
      </c>
      <c r="AO5" s="2" t="s">
        <v>0</v>
      </c>
      <c r="AP5" s="2" t="s">
        <v>102</v>
      </c>
      <c r="AQ5" s="2" t="s">
        <v>102</v>
      </c>
      <c r="AR5" s="3">
        <v>16</v>
      </c>
      <c r="AS5" s="3">
        <v>3</v>
      </c>
      <c r="AT5" s="3">
        <v>7</v>
      </c>
      <c r="AU5" s="2" t="s">
        <v>0</v>
      </c>
      <c r="AV5" s="2" t="s">
        <v>0</v>
      </c>
      <c r="AW5" s="2" t="s">
        <v>0</v>
      </c>
      <c r="AX5" s="2" t="s">
        <v>0</v>
      </c>
      <c r="AY5" s="2" t="s">
        <v>0</v>
      </c>
      <c r="AZ5" s="2" t="s">
        <v>0</v>
      </c>
      <c r="BA5" s="2" t="s">
        <v>0</v>
      </c>
      <c r="BB5" s="2" t="s">
        <v>0</v>
      </c>
      <c r="BC5" s="2" t="s">
        <v>0</v>
      </c>
      <c r="BD5" s="2" t="s">
        <v>0</v>
      </c>
      <c r="BE5" s="2" t="s">
        <v>0</v>
      </c>
      <c r="BF5" s="2" t="s">
        <v>0</v>
      </c>
      <c r="BG5" s="3">
        <v>15</v>
      </c>
      <c r="BH5" s="3">
        <v>0</v>
      </c>
      <c r="BI5" s="3">
        <v>7</v>
      </c>
    </row>
    <row r="6" spans="1:61" ht="33.75">
      <c r="A6" s="2" t="s">
        <v>121</v>
      </c>
      <c r="B6" s="2" t="s">
        <v>93</v>
      </c>
      <c r="C6" s="2" t="s">
        <v>129</v>
      </c>
      <c r="D6" s="2" t="s">
        <v>130</v>
      </c>
      <c r="E6" s="2" t="s">
        <v>131</v>
      </c>
      <c r="F6" s="2" t="s">
        <v>97</v>
      </c>
      <c r="G6" s="2" t="s">
        <v>97</v>
      </c>
      <c r="H6" s="2" t="s">
        <v>98</v>
      </c>
      <c r="I6" s="2" t="s">
        <v>132</v>
      </c>
      <c r="J6" s="2" t="s">
        <v>0</v>
      </c>
      <c r="K6" s="2" t="s">
        <v>133</v>
      </c>
      <c r="L6" s="2" t="s">
        <v>0</v>
      </c>
      <c r="M6" s="3">
        <v>0</v>
      </c>
      <c r="N6" s="2" t="s">
        <v>0</v>
      </c>
      <c r="O6" s="2" t="s">
        <v>0</v>
      </c>
      <c r="P6" s="6">
        <v>42298</v>
      </c>
      <c r="Q6" s="2" t="s">
        <v>0</v>
      </c>
      <c r="R6" s="2" t="s">
        <v>101</v>
      </c>
      <c r="S6" s="2" t="s">
        <v>101</v>
      </c>
      <c r="T6" s="3">
        <v>0</v>
      </c>
      <c r="U6" s="2" t="s">
        <v>101</v>
      </c>
      <c r="V6" s="2" t="s">
        <v>102</v>
      </c>
      <c r="W6" s="2" t="s">
        <v>101</v>
      </c>
      <c r="X6" s="2" t="s">
        <v>101</v>
      </c>
      <c r="Y6" s="2" t="s">
        <v>0</v>
      </c>
      <c r="Z6" s="2" t="s">
        <v>0</v>
      </c>
      <c r="AA6" s="2" t="s">
        <v>0</v>
      </c>
      <c r="AB6" s="2" t="s">
        <v>0</v>
      </c>
      <c r="AC6" s="2" t="s">
        <v>104</v>
      </c>
      <c r="AD6" s="2" t="s">
        <v>104</v>
      </c>
      <c r="AE6" s="2" t="s">
        <v>104</v>
      </c>
      <c r="AF6" s="6">
        <v>44774</v>
      </c>
      <c r="AG6" s="2" t="s">
        <v>134</v>
      </c>
      <c r="AH6" s="2" t="s">
        <v>131</v>
      </c>
      <c r="AI6" s="2" t="s">
        <v>132</v>
      </c>
      <c r="AJ6" s="2" t="s">
        <v>135</v>
      </c>
      <c r="AK6" s="2">
        <v>1</v>
      </c>
      <c r="AL6" s="2" t="s">
        <v>102</v>
      </c>
      <c r="AM6" s="2" t="s">
        <v>133</v>
      </c>
      <c r="AN6" s="6">
        <v>40859</v>
      </c>
      <c r="AO6" s="2" t="s">
        <v>0</v>
      </c>
      <c r="AP6" s="2" t="s">
        <v>102</v>
      </c>
      <c r="AQ6" s="2" t="s">
        <v>102</v>
      </c>
      <c r="AR6" s="3">
        <v>18</v>
      </c>
      <c r="AS6" s="3">
        <v>3</v>
      </c>
      <c r="AT6" s="3">
        <v>5</v>
      </c>
      <c r="AU6" s="2" t="s">
        <v>0</v>
      </c>
      <c r="AV6" s="2" t="s">
        <v>0</v>
      </c>
      <c r="AW6" s="2" t="s">
        <v>0</v>
      </c>
      <c r="AX6" s="2" t="s">
        <v>0</v>
      </c>
      <c r="AY6" s="2" t="s">
        <v>0</v>
      </c>
      <c r="AZ6" s="2" t="s">
        <v>0</v>
      </c>
      <c r="BA6" s="2" t="s">
        <v>0</v>
      </c>
      <c r="BB6" s="2" t="s">
        <v>0</v>
      </c>
      <c r="BC6" s="2" t="s">
        <v>0</v>
      </c>
      <c r="BD6" s="2" t="s">
        <v>0</v>
      </c>
      <c r="BE6" s="2" t="s">
        <v>0</v>
      </c>
      <c r="BF6" s="2" t="s">
        <v>0</v>
      </c>
      <c r="BG6" s="3">
        <v>6</v>
      </c>
      <c r="BH6" s="3">
        <v>0</v>
      </c>
      <c r="BI6" s="3">
        <v>16</v>
      </c>
    </row>
    <row r="7" spans="1:61" ht="33.75">
      <c r="A7" s="2" t="s">
        <v>121</v>
      </c>
      <c r="B7" s="2" t="s">
        <v>93</v>
      </c>
      <c r="C7" s="2" t="s">
        <v>136</v>
      </c>
      <c r="D7" s="2" t="s">
        <v>137</v>
      </c>
      <c r="E7" s="2" t="s">
        <v>138</v>
      </c>
      <c r="F7" s="2" t="s">
        <v>97</v>
      </c>
      <c r="G7" s="2" t="s">
        <v>97</v>
      </c>
      <c r="H7" s="2" t="s">
        <v>98</v>
      </c>
      <c r="I7" s="2" t="s">
        <v>139</v>
      </c>
      <c r="J7" s="2" t="s">
        <v>0</v>
      </c>
      <c r="K7" s="2" t="s">
        <v>140</v>
      </c>
      <c r="L7" s="2" t="s">
        <v>0</v>
      </c>
      <c r="M7" s="3">
        <v>0</v>
      </c>
      <c r="N7" s="2" t="s">
        <v>0</v>
      </c>
      <c r="O7" s="2" t="s">
        <v>0</v>
      </c>
      <c r="P7" s="6">
        <v>42298</v>
      </c>
      <c r="Q7" s="2" t="s">
        <v>0</v>
      </c>
      <c r="R7" s="2" t="s">
        <v>101</v>
      </c>
      <c r="S7" s="2" t="s">
        <v>101</v>
      </c>
      <c r="T7" s="3">
        <v>0</v>
      </c>
      <c r="U7" s="2" t="s">
        <v>102</v>
      </c>
      <c r="V7" s="2" t="s">
        <v>101</v>
      </c>
      <c r="W7" s="2" t="s">
        <v>101</v>
      </c>
      <c r="X7" s="2" t="s">
        <v>101</v>
      </c>
      <c r="Y7" s="2" t="s">
        <v>0</v>
      </c>
      <c r="Z7" s="2" t="s">
        <v>0</v>
      </c>
      <c r="AA7" s="2" t="s">
        <v>0</v>
      </c>
      <c r="AB7" s="2" t="s">
        <v>0</v>
      </c>
      <c r="AC7" s="2" t="s">
        <v>104</v>
      </c>
      <c r="AD7" s="2" t="s">
        <v>104</v>
      </c>
      <c r="AE7" s="2" t="s">
        <v>104</v>
      </c>
      <c r="AF7" s="6">
        <v>44774</v>
      </c>
      <c r="AG7" s="2" t="s">
        <v>141</v>
      </c>
      <c r="AH7" s="2" t="s">
        <v>138</v>
      </c>
      <c r="AI7" s="2" t="s">
        <v>139</v>
      </c>
      <c r="AJ7" s="2" t="s">
        <v>142</v>
      </c>
      <c r="AK7" s="2">
        <v>1</v>
      </c>
      <c r="AL7" s="2" t="s">
        <v>102</v>
      </c>
      <c r="AM7" s="2" t="s">
        <v>140</v>
      </c>
      <c r="AN7" s="6">
        <v>39723</v>
      </c>
      <c r="AO7" s="2" t="s">
        <v>0</v>
      </c>
      <c r="AP7" s="2" t="s">
        <v>102</v>
      </c>
      <c r="AQ7" s="2" t="s">
        <v>102</v>
      </c>
      <c r="AR7" s="3">
        <v>16</v>
      </c>
      <c r="AS7" s="3">
        <v>3</v>
      </c>
      <c r="AT7" s="3">
        <v>7</v>
      </c>
      <c r="AU7" s="2" t="s">
        <v>0</v>
      </c>
      <c r="AV7" s="2" t="s">
        <v>0</v>
      </c>
      <c r="AW7" s="2" t="s">
        <v>0</v>
      </c>
      <c r="AX7" s="2" t="s">
        <v>0</v>
      </c>
      <c r="AY7" s="2" t="s">
        <v>0</v>
      </c>
      <c r="AZ7" s="2" t="s">
        <v>0</v>
      </c>
      <c r="BA7" s="2" t="s">
        <v>0</v>
      </c>
      <c r="BB7" s="2" t="s">
        <v>0</v>
      </c>
      <c r="BC7" s="2" t="s">
        <v>0</v>
      </c>
      <c r="BD7" s="2" t="s">
        <v>0</v>
      </c>
      <c r="BE7" s="2" t="s">
        <v>0</v>
      </c>
      <c r="BF7" s="2" t="s">
        <v>0</v>
      </c>
      <c r="BG7" s="3">
        <v>15</v>
      </c>
      <c r="BH7" s="3">
        <v>0</v>
      </c>
      <c r="BI7" s="3">
        <v>7</v>
      </c>
    </row>
    <row r="8" spans="1:61" ht="33.75">
      <c r="A8" s="2" t="s">
        <v>26</v>
      </c>
      <c r="B8" s="2" t="s">
        <v>883</v>
      </c>
      <c r="C8" s="2" t="s">
        <v>143</v>
      </c>
      <c r="D8" s="2" t="s">
        <v>144</v>
      </c>
      <c r="E8" s="2" t="s">
        <v>145</v>
      </c>
      <c r="F8" s="2" t="s">
        <v>97</v>
      </c>
      <c r="G8" s="2" t="s">
        <v>97</v>
      </c>
      <c r="H8" s="2" t="s">
        <v>98</v>
      </c>
      <c r="I8" s="2" t="s">
        <v>146</v>
      </c>
      <c r="J8" s="2" t="s">
        <v>0</v>
      </c>
      <c r="K8" s="2" t="s">
        <v>0</v>
      </c>
      <c r="L8" s="2" t="s">
        <v>0</v>
      </c>
      <c r="M8" s="3">
        <v>0</v>
      </c>
      <c r="N8" s="2" t="s">
        <v>0</v>
      </c>
      <c r="O8" s="2" t="s">
        <v>0</v>
      </c>
      <c r="P8" s="6">
        <v>42298</v>
      </c>
      <c r="Q8" s="2" t="s">
        <v>0</v>
      </c>
      <c r="R8" s="2" t="s">
        <v>101</v>
      </c>
      <c r="S8" s="2" t="s">
        <v>101</v>
      </c>
      <c r="T8" s="3">
        <v>0</v>
      </c>
      <c r="U8" s="2" t="s">
        <v>102</v>
      </c>
      <c r="V8" s="2" t="s">
        <v>101</v>
      </c>
      <c r="W8" s="2" t="s">
        <v>101</v>
      </c>
      <c r="X8" s="2" t="s">
        <v>101</v>
      </c>
      <c r="Y8" s="2" t="s">
        <v>0</v>
      </c>
      <c r="Z8" s="2" t="s">
        <v>0</v>
      </c>
      <c r="AA8" s="2" t="s">
        <v>0</v>
      </c>
      <c r="AB8" s="2" t="s">
        <v>0</v>
      </c>
      <c r="AC8" s="2" t="s">
        <v>147</v>
      </c>
      <c r="AD8" s="2" t="s">
        <v>147</v>
      </c>
      <c r="AE8" s="2" t="s">
        <v>147</v>
      </c>
      <c r="AF8" s="6">
        <v>44774</v>
      </c>
      <c r="AG8" s="2" t="s">
        <v>148</v>
      </c>
      <c r="AH8" s="2" t="s">
        <v>145</v>
      </c>
      <c r="AI8" s="2" t="s">
        <v>146</v>
      </c>
      <c r="AJ8" s="2" t="s">
        <v>149</v>
      </c>
      <c r="AK8" s="2">
        <v>1</v>
      </c>
      <c r="AL8" s="2" t="s">
        <v>102</v>
      </c>
      <c r="AM8" s="2" t="s">
        <v>150</v>
      </c>
      <c r="AN8" s="6">
        <v>39749</v>
      </c>
      <c r="AO8" s="2" t="s">
        <v>0</v>
      </c>
      <c r="AP8" s="2" t="s">
        <v>102</v>
      </c>
      <c r="AQ8" s="2" t="s">
        <v>102</v>
      </c>
      <c r="AR8" s="3">
        <v>18</v>
      </c>
      <c r="AS8" s="3">
        <v>3</v>
      </c>
      <c r="AT8" s="3">
        <v>5</v>
      </c>
      <c r="AU8" s="2" t="s">
        <v>0</v>
      </c>
      <c r="AV8" s="2" t="s">
        <v>0</v>
      </c>
      <c r="AW8" s="2" t="s">
        <v>0</v>
      </c>
      <c r="AX8" s="2" t="s">
        <v>0</v>
      </c>
      <c r="AY8" s="2" t="s">
        <v>0</v>
      </c>
      <c r="AZ8" s="2" t="s">
        <v>0</v>
      </c>
      <c r="BA8" s="2" t="s">
        <v>0</v>
      </c>
      <c r="BB8" s="2" t="s">
        <v>0</v>
      </c>
      <c r="BC8" s="2" t="s">
        <v>0</v>
      </c>
      <c r="BD8" s="2" t="s">
        <v>0</v>
      </c>
      <c r="BE8" s="2" t="s">
        <v>0</v>
      </c>
      <c r="BF8" s="2" t="s">
        <v>0</v>
      </c>
      <c r="BG8" s="3">
        <v>8</v>
      </c>
      <c r="BH8" s="3">
        <v>0</v>
      </c>
      <c r="BI8" s="3">
        <v>3</v>
      </c>
    </row>
    <row r="9" spans="1:61" ht="33.75">
      <c r="A9" s="2" t="s">
        <v>121</v>
      </c>
      <c r="B9" s="2" t="s">
        <v>93</v>
      </c>
      <c r="C9" s="2" t="s">
        <v>151</v>
      </c>
      <c r="D9" s="2" t="s">
        <v>152</v>
      </c>
      <c r="E9" s="2" t="s">
        <v>153</v>
      </c>
      <c r="F9" s="2" t="s">
        <v>97</v>
      </c>
      <c r="G9" s="2" t="s">
        <v>97</v>
      </c>
      <c r="H9" s="2" t="s">
        <v>98</v>
      </c>
      <c r="I9" s="2" t="s">
        <v>154</v>
      </c>
      <c r="J9" s="2" t="s">
        <v>0</v>
      </c>
      <c r="K9" s="2" t="s">
        <v>155</v>
      </c>
      <c r="L9" s="2" t="s">
        <v>0</v>
      </c>
      <c r="M9" s="3">
        <v>0</v>
      </c>
      <c r="N9" s="2" t="s">
        <v>0</v>
      </c>
      <c r="O9" s="2" t="s">
        <v>0</v>
      </c>
      <c r="P9" s="6">
        <v>42298</v>
      </c>
      <c r="Q9" s="2" t="s">
        <v>0</v>
      </c>
      <c r="R9" s="2" t="s">
        <v>101</v>
      </c>
      <c r="S9" s="2" t="s">
        <v>101</v>
      </c>
      <c r="T9" s="3">
        <v>0</v>
      </c>
      <c r="U9" s="2" t="s">
        <v>101</v>
      </c>
      <c r="V9" s="2" t="s">
        <v>102</v>
      </c>
      <c r="W9" s="2" t="s">
        <v>101</v>
      </c>
      <c r="X9" s="2" t="s">
        <v>101</v>
      </c>
      <c r="Y9" s="2" t="s">
        <v>0</v>
      </c>
      <c r="Z9" s="2" t="s">
        <v>0</v>
      </c>
      <c r="AA9" s="2" t="s">
        <v>0</v>
      </c>
      <c r="AB9" s="2" t="s">
        <v>0</v>
      </c>
      <c r="AC9" s="2" t="s">
        <v>104</v>
      </c>
      <c r="AD9" s="2" t="s">
        <v>104</v>
      </c>
      <c r="AE9" s="2" t="s">
        <v>104</v>
      </c>
      <c r="AF9" s="6">
        <v>44774</v>
      </c>
      <c r="AG9" s="2" t="s">
        <v>156</v>
      </c>
      <c r="AH9" s="2" t="s">
        <v>153</v>
      </c>
      <c r="AI9" s="2" t="s">
        <v>154</v>
      </c>
      <c r="AJ9" s="2" t="s">
        <v>157</v>
      </c>
      <c r="AK9" s="2">
        <v>1</v>
      </c>
      <c r="AL9" s="2" t="s">
        <v>102</v>
      </c>
      <c r="AM9" s="2" t="s">
        <v>155</v>
      </c>
      <c r="AN9" s="6">
        <v>43526</v>
      </c>
      <c r="AO9" s="2" t="s">
        <v>0</v>
      </c>
      <c r="AP9" s="2" t="s">
        <v>102</v>
      </c>
      <c r="AQ9" s="2" t="s">
        <v>102</v>
      </c>
      <c r="AR9" s="3">
        <v>16</v>
      </c>
      <c r="AS9" s="3">
        <v>3</v>
      </c>
      <c r="AT9" s="3">
        <v>7</v>
      </c>
      <c r="AU9" s="2" t="s">
        <v>0</v>
      </c>
      <c r="AV9" s="2" t="s">
        <v>0</v>
      </c>
      <c r="AW9" s="2" t="s">
        <v>0</v>
      </c>
      <c r="AX9" s="2" t="s">
        <v>0</v>
      </c>
      <c r="AY9" s="2" t="s">
        <v>0</v>
      </c>
      <c r="AZ9" s="2" t="s">
        <v>0</v>
      </c>
      <c r="BA9" s="2" t="s">
        <v>0</v>
      </c>
      <c r="BB9" s="2" t="s">
        <v>0</v>
      </c>
      <c r="BC9" s="2" t="s">
        <v>0</v>
      </c>
      <c r="BD9" s="2" t="s">
        <v>0</v>
      </c>
      <c r="BE9" s="2" t="s">
        <v>0</v>
      </c>
      <c r="BF9" s="2" t="s">
        <v>0</v>
      </c>
      <c r="BG9" s="3">
        <v>15</v>
      </c>
      <c r="BH9" s="3">
        <v>0</v>
      </c>
      <c r="BI9" s="3">
        <v>3</v>
      </c>
    </row>
    <row r="10" spans="1:61" ht="33.75">
      <c r="A10" s="2" t="s">
        <v>92</v>
      </c>
      <c r="B10" s="2" t="s">
        <v>93</v>
      </c>
      <c r="C10" s="2" t="s">
        <v>158</v>
      </c>
      <c r="D10" s="2" t="s">
        <v>159</v>
      </c>
      <c r="E10" s="2" t="s">
        <v>160</v>
      </c>
      <c r="F10" s="2" t="s">
        <v>97</v>
      </c>
      <c r="G10" s="2" t="s">
        <v>97</v>
      </c>
      <c r="H10" s="2" t="s">
        <v>98</v>
      </c>
      <c r="I10" s="2" t="s">
        <v>154</v>
      </c>
      <c r="J10" s="2" t="s">
        <v>0</v>
      </c>
      <c r="K10" s="2" t="s">
        <v>161</v>
      </c>
      <c r="L10" s="2" t="s">
        <v>0</v>
      </c>
      <c r="M10" s="3">
        <v>0</v>
      </c>
      <c r="N10" s="2" t="s">
        <v>0</v>
      </c>
      <c r="O10" s="2" t="s">
        <v>0</v>
      </c>
      <c r="P10" s="6">
        <v>42298</v>
      </c>
      <c r="Q10" s="2" t="s">
        <v>0</v>
      </c>
      <c r="R10" s="2" t="s">
        <v>101</v>
      </c>
      <c r="S10" s="2" t="s">
        <v>101</v>
      </c>
      <c r="T10" s="3">
        <v>0</v>
      </c>
      <c r="U10" s="2" t="s">
        <v>102</v>
      </c>
      <c r="V10" s="2" t="s">
        <v>101</v>
      </c>
      <c r="W10" s="2" t="s">
        <v>101</v>
      </c>
      <c r="X10" s="2" t="s">
        <v>101</v>
      </c>
      <c r="Y10" s="2" t="s">
        <v>0</v>
      </c>
      <c r="Z10" s="2" t="s">
        <v>0</v>
      </c>
      <c r="AA10" s="2" t="s">
        <v>0</v>
      </c>
      <c r="AB10" s="2" t="s">
        <v>0</v>
      </c>
      <c r="AC10" s="2" t="s">
        <v>104</v>
      </c>
      <c r="AD10" s="2" t="s">
        <v>104</v>
      </c>
      <c r="AE10" s="2" t="s">
        <v>104</v>
      </c>
      <c r="AF10" s="6">
        <v>44774</v>
      </c>
      <c r="AG10" s="2" t="s">
        <v>162</v>
      </c>
      <c r="AH10" s="2" t="s">
        <v>160</v>
      </c>
      <c r="AI10" s="2" t="s">
        <v>154</v>
      </c>
      <c r="AJ10" s="2" t="s">
        <v>163</v>
      </c>
      <c r="AK10" s="2">
        <v>1</v>
      </c>
      <c r="AL10" s="2" t="s">
        <v>102</v>
      </c>
      <c r="AM10" s="2" t="s">
        <v>161</v>
      </c>
      <c r="AN10" s="6">
        <v>43802</v>
      </c>
      <c r="AO10" s="2" t="s">
        <v>0</v>
      </c>
      <c r="AP10" s="2" t="s">
        <v>102</v>
      </c>
      <c r="AQ10" s="2" t="s">
        <v>102</v>
      </c>
      <c r="AR10" s="3">
        <v>16</v>
      </c>
      <c r="AS10" s="3">
        <v>3</v>
      </c>
      <c r="AT10" s="3">
        <v>7</v>
      </c>
      <c r="AU10" s="3">
        <v>15</v>
      </c>
      <c r="AV10" s="3">
        <v>14</v>
      </c>
      <c r="AW10" s="3">
        <v>5</v>
      </c>
      <c r="AX10" s="3">
        <v>9</v>
      </c>
      <c r="AY10" s="3">
        <v>14</v>
      </c>
      <c r="AZ10" s="3">
        <v>55</v>
      </c>
      <c r="BA10" s="3">
        <v>309</v>
      </c>
      <c r="BB10" s="3">
        <v>254</v>
      </c>
      <c r="BC10" s="3">
        <v>82</v>
      </c>
      <c r="BD10" s="3">
        <v>49</v>
      </c>
      <c r="BE10" s="3">
        <v>59</v>
      </c>
      <c r="BF10" s="3">
        <v>5</v>
      </c>
      <c r="BG10" s="3">
        <v>15</v>
      </c>
      <c r="BH10" s="3">
        <v>0</v>
      </c>
      <c r="BI10" s="3">
        <v>12</v>
      </c>
    </row>
    <row r="11" spans="1:61" ht="33.75">
      <c r="A11" s="2" t="s">
        <v>121</v>
      </c>
      <c r="B11" s="2" t="s">
        <v>884</v>
      </c>
      <c r="C11" s="2" t="s">
        <v>164</v>
      </c>
      <c r="D11" s="2" t="s">
        <v>165</v>
      </c>
      <c r="E11" s="2" t="s">
        <v>166</v>
      </c>
      <c r="F11" s="2" t="s">
        <v>97</v>
      </c>
      <c r="G11" s="2" t="s">
        <v>97</v>
      </c>
      <c r="H11" s="2" t="s">
        <v>98</v>
      </c>
      <c r="I11" s="2" t="s">
        <v>167</v>
      </c>
      <c r="J11" s="2" t="s">
        <v>0</v>
      </c>
      <c r="K11" s="2" t="s">
        <v>168</v>
      </c>
      <c r="L11" s="2" t="s">
        <v>0</v>
      </c>
      <c r="M11" s="3">
        <v>0</v>
      </c>
      <c r="N11" s="2" t="s">
        <v>0</v>
      </c>
      <c r="O11" s="2" t="s">
        <v>0</v>
      </c>
      <c r="P11" s="6">
        <v>42298</v>
      </c>
      <c r="Q11" s="2" t="s">
        <v>0</v>
      </c>
      <c r="R11" s="2" t="s">
        <v>101</v>
      </c>
      <c r="S11" s="2" t="s">
        <v>101</v>
      </c>
      <c r="T11" s="3">
        <v>0</v>
      </c>
      <c r="U11" s="2" t="s">
        <v>102</v>
      </c>
      <c r="V11" s="2" t="s">
        <v>101</v>
      </c>
      <c r="W11" s="2" t="s">
        <v>101</v>
      </c>
      <c r="X11" s="2" t="s">
        <v>101</v>
      </c>
      <c r="Y11" s="2" t="s">
        <v>0</v>
      </c>
      <c r="Z11" s="2" t="s">
        <v>0</v>
      </c>
      <c r="AA11" s="2" t="s">
        <v>0</v>
      </c>
      <c r="AB11" s="2" t="s">
        <v>0</v>
      </c>
      <c r="AC11" s="2" t="s">
        <v>104</v>
      </c>
      <c r="AD11" s="2" t="s">
        <v>104</v>
      </c>
      <c r="AE11" s="2" t="s">
        <v>104</v>
      </c>
      <c r="AF11" s="6">
        <v>44774</v>
      </c>
      <c r="AG11" s="2" t="s">
        <v>169</v>
      </c>
      <c r="AH11" s="2" t="s">
        <v>166</v>
      </c>
      <c r="AI11" s="2" t="s">
        <v>167</v>
      </c>
      <c r="AJ11" s="2" t="s">
        <v>170</v>
      </c>
      <c r="AK11" s="2">
        <v>1</v>
      </c>
      <c r="AL11" s="2" t="s">
        <v>102</v>
      </c>
      <c r="AM11" s="2" t="s">
        <v>168</v>
      </c>
      <c r="AN11" s="6">
        <v>40411</v>
      </c>
      <c r="AO11" s="2" t="s">
        <v>0</v>
      </c>
      <c r="AP11" s="2" t="s">
        <v>102</v>
      </c>
      <c r="AQ11" s="2" t="s">
        <v>102</v>
      </c>
      <c r="AR11" s="3">
        <v>16</v>
      </c>
      <c r="AS11" s="3">
        <v>3</v>
      </c>
      <c r="AT11" s="3">
        <v>7</v>
      </c>
      <c r="AU11" s="2" t="s">
        <v>0</v>
      </c>
      <c r="AV11" s="2" t="s">
        <v>0</v>
      </c>
      <c r="AW11" s="2" t="s">
        <v>0</v>
      </c>
      <c r="AX11" s="2" t="s">
        <v>0</v>
      </c>
      <c r="AY11" s="2" t="s">
        <v>0</v>
      </c>
      <c r="AZ11" s="2" t="s">
        <v>0</v>
      </c>
      <c r="BA11" s="2" t="s">
        <v>0</v>
      </c>
      <c r="BB11" s="2" t="s">
        <v>0</v>
      </c>
      <c r="BC11" s="2" t="s">
        <v>0</v>
      </c>
      <c r="BD11" s="2" t="s">
        <v>0</v>
      </c>
      <c r="BE11" s="2" t="s">
        <v>0</v>
      </c>
      <c r="BF11" s="2" t="s">
        <v>0</v>
      </c>
      <c r="BG11" s="3">
        <v>1</v>
      </c>
      <c r="BH11" s="3">
        <v>0</v>
      </c>
      <c r="BI11" s="3">
        <v>10</v>
      </c>
    </row>
    <row r="12" spans="1:61" ht="33.75">
      <c r="A12" s="2" t="s">
        <v>121</v>
      </c>
      <c r="B12" s="2" t="s">
        <v>884</v>
      </c>
      <c r="C12" s="2" t="s">
        <v>171</v>
      </c>
      <c r="D12" s="2" t="s">
        <v>172</v>
      </c>
      <c r="E12" s="2" t="s">
        <v>173</v>
      </c>
      <c r="F12" s="2" t="s">
        <v>97</v>
      </c>
      <c r="G12" s="2" t="s">
        <v>97</v>
      </c>
      <c r="H12" s="2" t="s">
        <v>98</v>
      </c>
      <c r="I12" s="2" t="s">
        <v>174</v>
      </c>
      <c r="J12" s="2" t="s">
        <v>0</v>
      </c>
      <c r="K12" s="2" t="s">
        <v>175</v>
      </c>
      <c r="L12" s="2" t="s">
        <v>0</v>
      </c>
      <c r="M12" s="3">
        <v>0</v>
      </c>
      <c r="N12" s="2" t="s">
        <v>0</v>
      </c>
      <c r="O12" s="2" t="s">
        <v>0</v>
      </c>
      <c r="P12" s="6">
        <v>42298</v>
      </c>
      <c r="Q12" s="2" t="s">
        <v>0</v>
      </c>
      <c r="R12" s="2" t="s">
        <v>101</v>
      </c>
      <c r="S12" s="2" t="s">
        <v>101</v>
      </c>
      <c r="T12" s="3">
        <v>0</v>
      </c>
      <c r="U12" s="2" t="s">
        <v>102</v>
      </c>
      <c r="V12" s="2" t="s">
        <v>101</v>
      </c>
      <c r="W12" s="2" t="s">
        <v>101</v>
      </c>
      <c r="X12" s="2" t="s">
        <v>101</v>
      </c>
      <c r="Y12" s="2" t="s">
        <v>0</v>
      </c>
      <c r="Z12" s="2" t="s">
        <v>0</v>
      </c>
      <c r="AA12" s="2" t="s">
        <v>0</v>
      </c>
      <c r="AB12" s="2" t="s">
        <v>0</v>
      </c>
      <c r="AC12" s="2" t="s">
        <v>104</v>
      </c>
      <c r="AD12" s="2" t="s">
        <v>104</v>
      </c>
      <c r="AE12" s="2" t="s">
        <v>104</v>
      </c>
      <c r="AF12" s="6">
        <v>44774</v>
      </c>
      <c r="AG12" s="2" t="s">
        <v>176</v>
      </c>
      <c r="AH12" s="2" t="s">
        <v>173</v>
      </c>
      <c r="AI12" s="2" t="s">
        <v>174</v>
      </c>
      <c r="AJ12" s="2" t="s">
        <v>177</v>
      </c>
      <c r="AK12" s="2">
        <v>1</v>
      </c>
      <c r="AL12" s="2" t="s">
        <v>102</v>
      </c>
      <c r="AM12" s="2" t="s">
        <v>175</v>
      </c>
      <c r="AN12" s="6">
        <v>37181</v>
      </c>
      <c r="AO12" s="2" t="s">
        <v>0</v>
      </c>
      <c r="AP12" s="2" t="s">
        <v>102</v>
      </c>
      <c r="AQ12" s="2" t="s">
        <v>102</v>
      </c>
      <c r="AR12" s="3">
        <v>16</v>
      </c>
      <c r="AS12" s="3">
        <v>3</v>
      </c>
      <c r="AT12" s="3">
        <v>7</v>
      </c>
      <c r="AU12" s="2" t="s">
        <v>0</v>
      </c>
      <c r="AV12" s="2" t="s">
        <v>0</v>
      </c>
      <c r="AW12" s="2" t="s">
        <v>0</v>
      </c>
      <c r="AX12" s="2" t="s">
        <v>0</v>
      </c>
      <c r="AY12" s="2" t="s">
        <v>0</v>
      </c>
      <c r="AZ12" s="2" t="s">
        <v>0</v>
      </c>
      <c r="BA12" s="2" t="s">
        <v>0</v>
      </c>
      <c r="BB12" s="2" t="s">
        <v>0</v>
      </c>
      <c r="BC12" s="2" t="s">
        <v>0</v>
      </c>
      <c r="BD12" s="2" t="s">
        <v>0</v>
      </c>
      <c r="BE12" s="2" t="s">
        <v>0</v>
      </c>
      <c r="BF12" s="2" t="s">
        <v>0</v>
      </c>
      <c r="BG12" s="3">
        <v>15</v>
      </c>
      <c r="BH12" s="3">
        <v>0</v>
      </c>
      <c r="BI12" s="3">
        <v>2</v>
      </c>
    </row>
    <row r="13" spans="1:61" ht="33.75">
      <c r="A13" s="2" t="s">
        <v>121</v>
      </c>
      <c r="B13" s="2" t="s">
        <v>884</v>
      </c>
      <c r="C13" s="2" t="s">
        <v>178</v>
      </c>
      <c r="D13" s="2" t="s">
        <v>179</v>
      </c>
      <c r="E13" s="2" t="s">
        <v>180</v>
      </c>
      <c r="F13" s="2" t="s">
        <v>97</v>
      </c>
      <c r="G13" s="2" t="s">
        <v>97</v>
      </c>
      <c r="H13" s="2" t="s">
        <v>98</v>
      </c>
      <c r="I13" s="2" t="s">
        <v>181</v>
      </c>
      <c r="J13" s="2" t="s">
        <v>0</v>
      </c>
      <c r="K13" s="2" t="s">
        <v>182</v>
      </c>
      <c r="L13" s="2" t="s">
        <v>0</v>
      </c>
      <c r="M13" s="3">
        <v>0</v>
      </c>
      <c r="N13" s="2" t="s">
        <v>0</v>
      </c>
      <c r="O13" s="2" t="s">
        <v>0</v>
      </c>
      <c r="P13" s="6">
        <v>42298</v>
      </c>
      <c r="Q13" s="2" t="s">
        <v>0</v>
      </c>
      <c r="R13" s="2" t="s">
        <v>101</v>
      </c>
      <c r="S13" s="2" t="s">
        <v>101</v>
      </c>
      <c r="T13" s="3">
        <v>0</v>
      </c>
      <c r="U13" s="2" t="s">
        <v>102</v>
      </c>
      <c r="V13" s="2" t="s">
        <v>101</v>
      </c>
      <c r="W13" s="2" t="s">
        <v>101</v>
      </c>
      <c r="X13" s="2" t="s">
        <v>101</v>
      </c>
      <c r="Y13" s="2" t="s">
        <v>0</v>
      </c>
      <c r="Z13" s="2" t="s">
        <v>0</v>
      </c>
      <c r="AA13" s="2" t="s">
        <v>0</v>
      </c>
      <c r="AB13" s="2" t="s">
        <v>0</v>
      </c>
      <c r="AC13" s="2" t="s">
        <v>104</v>
      </c>
      <c r="AD13" s="2" t="s">
        <v>104</v>
      </c>
      <c r="AE13" s="2" t="s">
        <v>104</v>
      </c>
      <c r="AF13" s="6">
        <v>44774</v>
      </c>
      <c r="AG13" s="2" t="s">
        <v>183</v>
      </c>
      <c r="AH13" s="2" t="s">
        <v>180</v>
      </c>
      <c r="AI13" s="2" t="s">
        <v>181</v>
      </c>
      <c r="AJ13" s="2" t="s">
        <v>184</v>
      </c>
      <c r="AK13" s="2">
        <v>1</v>
      </c>
      <c r="AL13" s="2" t="s">
        <v>102</v>
      </c>
      <c r="AM13" s="2" t="s">
        <v>182</v>
      </c>
      <c r="AN13" s="6">
        <v>39969</v>
      </c>
      <c r="AO13" s="2" t="s">
        <v>0</v>
      </c>
      <c r="AP13" s="2" t="s">
        <v>102</v>
      </c>
      <c r="AQ13" s="2" t="s">
        <v>102</v>
      </c>
      <c r="AR13" s="3">
        <v>16</v>
      </c>
      <c r="AS13" s="3">
        <v>3</v>
      </c>
      <c r="AT13" s="3">
        <v>7</v>
      </c>
      <c r="AU13" s="2" t="s">
        <v>0</v>
      </c>
      <c r="AV13" s="2" t="s">
        <v>0</v>
      </c>
      <c r="AW13" s="2" t="s">
        <v>0</v>
      </c>
      <c r="AX13" s="2" t="s">
        <v>0</v>
      </c>
      <c r="AY13" s="2" t="s">
        <v>0</v>
      </c>
      <c r="AZ13" s="2" t="s">
        <v>0</v>
      </c>
      <c r="BA13" s="2" t="s">
        <v>0</v>
      </c>
      <c r="BB13" s="2" t="s">
        <v>0</v>
      </c>
      <c r="BC13" s="2" t="s">
        <v>0</v>
      </c>
      <c r="BD13" s="2" t="s">
        <v>0</v>
      </c>
      <c r="BE13" s="2" t="s">
        <v>0</v>
      </c>
      <c r="BF13" s="2" t="s">
        <v>0</v>
      </c>
      <c r="BG13" s="3">
        <v>1</v>
      </c>
      <c r="BH13" s="3">
        <v>0</v>
      </c>
      <c r="BI13" s="3">
        <v>11</v>
      </c>
    </row>
    <row r="14" spans="1:61" ht="33.75">
      <c r="A14" s="2" t="s">
        <v>121</v>
      </c>
      <c r="B14" s="2" t="s">
        <v>93</v>
      </c>
      <c r="C14" s="2" t="s">
        <v>185</v>
      </c>
      <c r="D14" s="2" t="s">
        <v>186</v>
      </c>
      <c r="E14" s="2" t="s">
        <v>187</v>
      </c>
      <c r="F14" s="2" t="s">
        <v>97</v>
      </c>
      <c r="G14" s="2" t="s">
        <v>97</v>
      </c>
      <c r="H14" s="2" t="s">
        <v>98</v>
      </c>
      <c r="I14" s="2" t="s">
        <v>188</v>
      </c>
      <c r="J14" s="2" t="s">
        <v>0</v>
      </c>
      <c r="K14" s="2" t="s">
        <v>189</v>
      </c>
      <c r="L14" s="2" t="s">
        <v>0</v>
      </c>
      <c r="M14" s="3">
        <v>0</v>
      </c>
      <c r="N14" s="2" t="s">
        <v>0</v>
      </c>
      <c r="O14" s="2" t="s">
        <v>0</v>
      </c>
      <c r="P14" s="6">
        <v>44521</v>
      </c>
      <c r="Q14" s="2" t="s">
        <v>0</v>
      </c>
      <c r="R14" s="2" t="s">
        <v>101</v>
      </c>
      <c r="S14" s="2" t="s">
        <v>101</v>
      </c>
      <c r="T14" s="3">
        <v>0</v>
      </c>
      <c r="U14" s="2" t="s">
        <v>102</v>
      </c>
      <c r="V14" s="2" t="s">
        <v>101</v>
      </c>
      <c r="W14" s="2" t="s">
        <v>101</v>
      </c>
      <c r="X14" s="2" t="s">
        <v>101</v>
      </c>
      <c r="Y14" s="2" t="s">
        <v>0</v>
      </c>
      <c r="Z14" s="2" t="s">
        <v>0</v>
      </c>
      <c r="AA14" s="2" t="s">
        <v>0</v>
      </c>
      <c r="AB14" s="2" t="s">
        <v>0</v>
      </c>
      <c r="AC14" s="2" t="s">
        <v>104</v>
      </c>
      <c r="AD14" s="2" t="s">
        <v>104</v>
      </c>
      <c r="AE14" s="2" t="s">
        <v>104</v>
      </c>
      <c r="AF14" s="6">
        <v>44774</v>
      </c>
      <c r="AG14" s="2" t="s">
        <v>190</v>
      </c>
      <c r="AH14" s="2" t="s">
        <v>187</v>
      </c>
      <c r="AI14" s="2" t="s">
        <v>188</v>
      </c>
      <c r="AJ14" s="2" t="s">
        <v>191</v>
      </c>
      <c r="AK14" s="2">
        <v>1</v>
      </c>
      <c r="AL14" s="2" t="s">
        <v>102</v>
      </c>
      <c r="AM14" s="2" t="s">
        <v>189</v>
      </c>
      <c r="AN14" s="6">
        <v>40226</v>
      </c>
      <c r="AO14" s="2" t="s">
        <v>0</v>
      </c>
      <c r="AP14" s="2" t="s">
        <v>102</v>
      </c>
      <c r="AQ14" s="2" t="s">
        <v>102</v>
      </c>
      <c r="AR14" s="3">
        <v>16</v>
      </c>
      <c r="AS14" s="3">
        <v>3</v>
      </c>
      <c r="AT14" s="3">
        <v>7</v>
      </c>
      <c r="AU14" s="2" t="s">
        <v>0</v>
      </c>
      <c r="AV14" s="2" t="s">
        <v>0</v>
      </c>
      <c r="AW14" s="2" t="s">
        <v>0</v>
      </c>
      <c r="AX14" s="2" t="s">
        <v>0</v>
      </c>
      <c r="AY14" s="2" t="s">
        <v>0</v>
      </c>
      <c r="AZ14" s="2" t="s">
        <v>0</v>
      </c>
      <c r="BA14" s="2" t="s">
        <v>0</v>
      </c>
      <c r="BB14" s="2" t="s">
        <v>0</v>
      </c>
      <c r="BC14" s="2" t="s">
        <v>0</v>
      </c>
      <c r="BD14" s="2" t="s">
        <v>0</v>
      </c>
      <c r="BE14" s="2" t="s">
        <v>0</v>
      </c>
      <c r="BF14" s="2" t="s">
        <v>0</v>
      </c>
      <c r="BG14" s="3">
        <v>15</v>
      </c>
      <c r="BH14" s="3">
        <v>0</v>
      </c>
      <c r="BI14" s="3">
        <v>1</v>
      </c>
    </row>
    <row r="15" spans="1:61" ht="33.75">
      <c r="A15" s="2" t="s">
        <v>121</v>
      </c>
      <c r="B15" s="2" t="s">
        <v>93</v>
      </c>
      <c r="C15" s="2" t="s">
        <v>192</v>
      </c>
      <c r="D15" s="2" t="s">
        <v>193</v>
      </c>
      <c r="E15" s="2" t="s">
        <v>194</v>
      </c>
      <c r="F15" s="2" t="s">
        <v>97</v>
      </c>
      <c r="G15" s="2" t="s">
        <v>97</v>
      </c>
      <c r="H15" s="2" t="s">
        <v>98</v>
      </c>
      <c r="I15" s="2" t="s">
        <v>195</v>
      </c>
      <c r="J15" s="2" t="s">
        <v>0</v>
      </c>
      <c r="K15" s="2" t="s">
        <v>196</v>
      </c>
      <c r="L15" s="2" t="s">
        <v>0</v>
      </c>
      <c r="M15" s="3">
        <v>0</v>
      </c>
      <c r="N15" s="2" t="s">
        <v>0</v>
      </c>
      <c r="O15" s="2" t="s">
        <v>0</v>
      </c>
      <c r="P15" s="6">
        <v>42298</v>
      </c>
      <c r="Q15" s="2" t="s">
        <v>0</v>
      </c>
      <c r="R15" s="2" t="s">
        <v>101</v>
      </c>
      <c r="S15" s="2" t="s">
        <v>101</v>
      </c>
      <c r="T15" s="3">
        <v>0</v>
      </c>
      <c r="U15" s="2" t="s">
        <v>101</v>
      </c>
      <c r="V15" s="2" t="s">
        <v>102</v>
      </c>
      <c r="W15" s="2" t="s">
        <v>101</v>
      </c>
      <c r="X15" s="2" t="s">
        <v>101</v>
      </c>
      <c r="Y15" s="2" t="s">
        <v>0</v>
      </c>
      <c r="Z15" s="2" t="s">
        <v>0</v>
      </c>
      <c r="AA15" s="2" t="s">
        <v>0</v>
      </c>
      <c r="AB15" s="2" t="s">
        <v>0</v>
      </c>
      <c r="AC15" s="2" t="s">
        <v>104</v>
      </c>
      <c r="AD15" s="2" t="s">
        <v>104</v>
      </c>
      <c r="AE15" s="2" t="s">
        <v>104</v>
      </c>
      <c r="AF15" s="6">
        <v>44774</v>
      </c>
      <c r="AG15" s="2" t="s">
        <v>197</v>
      </c>
      <c r="AH15" s="2" t="s">
        <v>194</v>
      </c>
      <c r="AI15" s="2" t="s">
        <v>195</v>
      </c>
      <c r="AJ15" s="2" t="s">
        <v>198</v>
      </c>
      <c r="AK15" s="2">
        <v>1</v>
      </c>
      <c r="AL15" s="2" t="s">
        <v>102</v>
      </c>
      <c r="AM15" s="2" t="s">
        <v>196</v>
      </c>
      <c r="AN15" s="6">
        <v>39880</v>
      </c>
      <c r="AO15" s="2" t="s">
        <v>0</v>
      </c>
      <c r="AP15" s="2" t="s">
        <v>102</v>
      </c>
      <c r="AQ15" s="2" t="s">
        <v>102</v>
      </c>
      <c r="AR15" s="3">
        <v>15</v>
      </c>
      <c r="AS15" s="3">
        <v>3</v>
      </c>
      <c r="AT15" s="3">
        <v>9</v>
      </c>
      <c r="AU15" s="3">
        <v>16</v>
      </c>
      <c r="AV15" s="3">
        <v>15</v>
      </c>
      <c r="AW15" s="3">
        <v>6</v>
      </c>
      <c r="AX15" s="3">
        <v>10</v>
      </c>
      <c r="AY15" s="3">
        <v>14</v>
      </c>
      <c r="AZ15" s="3">
        <v>57</v>
      </c>
      <c r="BA15" s="3">
        <v>333</v>
      </c>
      <c r="BB15" s="3">
        <v>276</v>
      </c>
      <c r="BC15" s="3">
        <v>106</v>
      </c>
      <c r="BD15" s="3">
        <v>51</v>
      </c>
      <c r="BE15" s="3">
        <v>81</v>
      </c>
      <c r="BF15" s="3">
        <v>6</v>
      </c>
      <c r="BG15" s="3">
        <v>15</v>
      </c>
      <c r="BH15" s="3">
        <v>0</v>
      </c>
      <c r="BI15" s="3">
        <v>11</v>
      </c>
    </row>
    <row r="16" spans="1:61" ht="33.75">
      <c r="A16" s="2" t="s">
        <v>26</v>
      </c>
      <c r="B16" s="2" t="s">
        <v>93</v>
      </c>
      <c r="C16" s="2" t="s">
        <v>199</v>
      </c>
      <c r="D16" s="2" t="s">
        <v>200</v>
      </c>
      <c r="E16" s="2" t="s">
        <v>201</v>
      </c>
      <c r="F16" s="2" t="s">
        <v>97</v>
      </c>
      <c r="G16" s="2" t="s">
        <v>97</v>
      </c>
      <c r="H16" s="2" t="s">
        <v>98</v>
      </c>
      <c r="I16" s="2" t="s">
        <v>202</v>
      </c>
      <c r="J16" s="2" t="s">
        <v>0</v>
      </c>
      <c r="K16" s="2" t="s">
        <v>0</v>
      </c>
      <c r="L16" s="2" t="s">
        <v>0</v>
      </c>
      <c r="M16" s="3">
        <v>0</v>
      </c>
      <c r="N16" s="2" t="s">
        <v>0</v>
      </c>
      <c r="O16" s="2" t="s">
        <v>0</v>
      </c>
      <c r="P16" s="6">
        <v>42298</v>
      </c>
      <c r="Q16" s="2" t="s">
        <v>0</v>
      </c>
      <c r="R16" s="2" t="s">
        <v>101</v>
      </c>
      <c r="S16" s="2" t="s">
        <v>101</v>
      </c>
      <c r="T16" s="3">
        <v>0</v>
      </c>
      <c r="U16" s="2" t="s">
        <v>101</v>
      </c>
      <c r="V16" s="2" t="s">
        <v>102</v>
      </c>
      <c r="W16" s="2" t="s">
        <v>101</v>
      </c>
      <c r="X16" s="2" t="s">
        <v>101</v>
      </c>
      <c r="Y16" s="2" t="s">
        <v>0</v>
      </c>
      <c r="Z16" s="2" t="s">
        <v>0</v>
      </c>
      <c r="AA16" s="2" t="s">
        <v>0</v>
      </c>
      <c r="AB16" s="2" t="s">
        <v>0</v>
      </c>
      <c r="AC16" s="2" t="s">
        <v>147</v>
      </c>
      <c r="AD16" s="2" t="s">
        <v>147</v>
      </c>
      <c r="AE16" s="2" t="s">
        <v>147</v>
      </c>
      <c r="AF16" s="6">
        <v>44774</v>
      </c>
      <c r="AG16" s="2" t="s">
        <v>203</v>
      </c>
      <c r="AH16" s="2" t="s">
        <v>201</v>
      </c>
      <c r="AI16" s="2" t="s">
        <v>202</v>
      </c>
      <c r="AJ16" s="2" t="s">
        <v>204</v>
      </c>
      <c r="AK16" s="2">
        <v>1</v>
      </c>
      <c r="AL16" s="2" t="s">
        <v>102</v>
      </c>
      <c r="AM16" s="2" t="s">
        <v>205</v>
      </c>
      <c r="AN16" s="6">
        <v>40225</v>
      </c>
      <c r="AO16" s="2" t="s">
        <v>0</v>
      </c>
      <c r="AP16" s="2" t="s">
        <v>102</v>
      </c>
      <c r="AQ16" s="2" t="s">
        <v>102</v>
      </c>
      <c r="AR16" s="3">
        <v>13</v>
      </c>
      <c r="AS16" s="3">
        <v>3</v>
      </c>
      <c r="AT16" s="3">
        <v>11</v>
      </c>
      <c r="AU16" s="3">
        <v>35</v>
      </c>
      <c r="AV16" s="3">
        <v>14</v>
      </c>
      <c r="AW16" s="3">
        <v>16</v>
      </c>
      <c r="AX16" s="3">
        <v>28</v>
      </c>
      <c r="AY16" s="3">
        <v>27</v>
      </c>
      <c r="AZ16" s="3">
        <v>59</v>
      </c>
      <c r="BA16" s="3">
        <v>369</v>
      </c>
      <c r="BB16" s="3">
        <v>310</v>
      </c>
      <c r="BC16" s="3">
        <v>109</v>
      </c>
      <c r="BD16" s="3">
        <v>53</v>
      </c>
      <c r="BE16" s="3">
        <v>80</v>
      </c>
      <c r="BF16" s="3">
        <v>5</v>
      </c>
      <c r="BG16" s="3">
        <v>19</v>
      </c>
      <c r="BH16" s="3">
        <v>0</v>
      </c>
      <c r="BI16" s="3">
        <v>2</v>
      </c>
    </row>
    <row r="17" spans="1:61" ht="33.75">
      <c r="A17" s="2" t="s">
        <v>92</v>
      </c>
      <c r="B17" s="2" t="s">
        <v>93</v>
      </c>
      <c r="C17" s="2" t="s">
        <v>206</v>
      </c>
      <c r="D17" s="2" t="s">
        <v>207</v>
      </c>
      <c r="E17" s="2" t="s">
        <v>208</v>
      </c>
      <c r="F17" s="2" t="s">
        <v>97</v>
      </c>
      <c r="G17" s="2" t="s">
        <v>97</v>
      </c>
      <c r="H17" s="2" t="s">
        <v>98</v>
      </c>
      <c r="I17" s="2" t="s">
        <v>209</v>
      </c>
      <c r="J17" s="2" t="s">
        <v>0</v>
      </c>
      <c r="K17" s="2" t="s">
        <v>210</v>
      </c>
      <c r="L17" s="2" t="s">
        <v>0</v>
      </c>
      <c r="M17" s="3">
        <v>0</v>
      </c>
      <c r="N17" s="2" t="s">
        <v>0</v>
      </c>
      <c r="O17" s="2" t="s">
        <v>0</v>
      </c>
      <c r="P17" s="6">
        <v>42298</v>
      </c>
      <c r="Q17" s="2" t="s">
        <v>0</v>
      </c>
      <c r="R17" s="2" t="s">
        <v>101</v>
      </c>
      <c r="S17" s="2" t="s">
        <v>101</v>
      </c>
      <c r="T17" s="3">
        <v>0</v>
      </c>
      <c r="U17" s="2" t="s">
        <v>102</v>
      </c>
      <c r="V17" s="2" t="s">
        <v>101</v>
      </c>
      <c r="W17" s="2" t="s">
        <v>101</v>
      </c>
      <c r="X17" s="2" t="s">
        <v>101</v>
      </c>
      <c r="Y17" s="2" t="s">
        <v>0</v>
      </c>
      <c r="Z17" s="2" t="s">
        <v>0</v>
      </c>
      <c r="AA17" s="2" t="s">
        <v>0</v>
      </c>
      <c r="AB17" s="2" t="s">
        <v>0</v>
      </c>
      <c r="AC17" s="2" t="s">
        <v>104</v>
      </c>
      <c r="AD17" s="2" t="s">
        <v>104</v>
      </c>
      <c r="AE17" s="2" t="s">
        <v>104</v>
      </c>
      <c r="AF17" s="6">
        <v>44774</v>
      </c>
      <c r="AG17" s="2" t="s">
        <v>211</v>
      </c>
      <c r="AH17" s="2" t="s">
        <v>208</v>
      </c>
      <c r="AI17" s="2" t="s">
        <v>209</v>
      </c>
      <c r="AJ17" s="2" t="s">
        <v>212</v>
      </c>
      <c r="AK17" s="2">
        <v>1</v>
      </c>
      <c r="AL17" s="2" t="s">
        <v>102</v>
      </c>
      <c r="AM17" s="2" t="s">
        <v>210</v>
      </c>
      <c r="AN17" s="6">
        <v>40505</v>
      </c>
      <c r="AO17" s="2" t="s">
        <v>0</v>
      </c>
      <c r="AP17" s="2" t="s">
        <v>102</v>
      </c>
      <c r="AQ17" s="2" t="s">
        <v>102</v>
      </c>
      <c r="AR17" s="3">
        <v>16</v>
      </c>
      <c r="AS17" s="3">
        <v>3</v>
      </c>
      <c r="AT17" s="3">
        <v>7</v>
      </c>
      <c r="AU17" s="3">
        <v>15</v>
      </c>
      <c r="AV17" s="3">
        <v>14</v>
      </c>
      <c r="AW17" s="3">
        <v>5</v>
      </c>
      <c r="AX17" s="3">
        <v>9</v>
      </c>
      <c r="AY17" s="3">
        <v>14</v>
      </c>
      <c r="AZ17" s="3">
        <v>55</v>
      </c>
      <c r="BA17" s="3">
        <v>309</v>
      </c>
      <c r="BB17" s="3">
        <v>254</v>
      </c>
      <c r="BC17" s="3">
        <v>82</v>
      </c>
      <c r="BD17" s="3">
        <v>49</v>
      </c>
      <c r="BE17" s="3">
        <v>59</v>
      </c>
      <c r="BF17" s="3">
        <v>5</v>
      </c>
      <c r="BG17" s="3">
        <v>15</v>
      </c>
      <c r="BH17" s="3">
        <v>0</v>
      </c>
      <c r="BI17" s="3">
        <v>13</v>
      </c>
    </row>
    <row r="18" spans="1:61" ht="33.75">
      <c r="A18" s="2" t="s">
        <v>121</v>
      </c>
      <c r="B18" s="2" t="s">
        <v>93</v>
      </c>
      <c r="C18" s="2" t="s">
        <v>213</v>
      </c>
      <c r="D18" s="2" t="s">
        <v>214</v>
      </c>
      <c r="E18" s="2" t="s">
        <v>215</v>
      </c>
      <c r="F18" s="2" t="s">
        <v>97</v>
      </c>
      <c r="G18" s="2" t="s">
        <v>97</v>
      </c>
      <c r="H18" s="2" t="s">
        <v>98</v>
      </c>
      <c r="I18" s="2" t="s">
        <v>216</v>
      </c>
      <c r="J18" s="2" t="s">
        <v>0</v>
      </c>
      <c r="K18" s="2" t="s">
        <v>217</v>
      </c>
      <c r="L18" s="2" t="s">
        <v>0</v>
      </c>
      <c r="M18" s="3">
        <v>0</v>
      </c>
      <c r="N18" s="2" t="s">
        <v>0</v>
      </c>
      <c r="O18" s="2" t="s">
        <v>0</v>
      </c>
      <c r="P18" s="6">
        <v>42298</v>
      </c>
      <c r="Q18" s="2" t="s">
        <v>0</v>
      </c>
      <c r="R18" s="2" t="s">
        <v>101</v>
      </c>
      <c r="S18" s="2" t="s">
        <v>101</v>
      </c>
      <c r="T18" s="3">
        <v>0</v>
      </c>
      <c r="U18" s="2" t="s">
        <v>102</v>
      </c>
      <c r="V18" s="2" t="s">
        <v>101</v>
      </c>
      <c r="W18" s="2" t="s">
        <v>101</v>
      </c>
      <c r="X18" s="2" t="s">
        <v>101</v>
      </c>
      <c r="Y18" s="2" t="s">
        <v>0</v>
      </c>
      <c r="Z18" s="2" t="s">
        <v>0</v>
      </c>
      <c r="AA18" s="2" t="s">
        <v>0</v>
      </c>
      <c r="AB18" s="2" t="s">
        <v>0</v>
      </c>
      <c r="AC18" s="2" t="s">
        <v>104</v>
      </c>
      <c r="AD18" s="2" t="s">
        <v>104</v>
      </c>
      <c r="AE18" s="2" t="s">
        <v>104</v>
      </c>
      <c r="AF18" s="6">
        <v>44774</v>
      </c>
      <c r="AG18" s="2" t="s">
        <v>218</v>
      </c>
      <c r="AH18" s="2" t="s">
        <v>215</v>
      </c>
      <c r="AI18" s="2" t="s">
        <v>216</v>
      </c>
      <c r="AJ18" s="2" t="s">
        <v>219</v>
      </c>
      <c r="AK18" s="2">
        <v>1</v>
      </c>
      <c r="AL18" s="2" t="s">
        <v>102</v>
      </c>
      <c r="AM18" s="2" t="s">
        <v>217</v>
      </c>
      <c r="AN18" s="6">
        <v>38357</v>
      </c>
      <c r="AO18" s="2" t="s">
        <v>0</v>
      </c>
      <c r="AP18" s="2" t="s">
        <v>102</v>
      </c>
      <c r="AQ18" s="2" t="s">
        <v>102</v>
      </c>
      <c r="AR18" s="3">
        <v>16</v>
      </c>
      <c r="AS18" s="3">
        <v>3</v>
      </c>
      <c r="AT18" s="3">
        <v>7</v>
      </c>
      <c r="AU18" s="2" t="s">
        <v>0</v>
      </c>
      <c r="AV18" s="2" t="s">
        <v>0</v>
      </c>
      <c r="AW18" s="2" t="s">
        <v>0</v>
      </c>
      <c r="AX18" s="2" t="s">
        <v>0</v>
      </c>
      <c r="AY18" s="2" t="s">
        <v>0</v>
      </c>
      <c r="AZ18" s="2" t="s">
        <v>0</v>
      </c>
      <c r="BA18" s="2" t="s">
        <v>0</v>
      </c>
      <c r="BB18" s="2" t="s">
        <v>0</v>
      </c>
      <c r="BC18" s="2" t="s">
        <v>0</v>
      </c>
      <c r="BD18" s="2" t="s">
        <v>0</v>
      </c>
      <c r="BE18" s="2" t="s">
        <v>0</v>
      </c>
      <c r="BF18" s="2" t="s">
        <v>0</v>
      </c>
      <c r="BG18" s="3">
        <v>15</v>
      </c>
      <c r="BH18" s="3">
        <v>0</v>
      </c>
      <c r="BI18" s="3">
        <v>3</v>
      </c>
    </row>
    <row r="19" spans="1:61" ht="33.75">
      <c r="A19" s="2" t="s">
        <v>121</v>
      </c>
      <c r="B19" s="2" t="s">
        <v>93</v>
      </c>
      <c r="C19" s="2" t="s">
        <v>220</v>
      </c>
      <c r="D19" s="2" t="s">
        <v>221</v>
      </c>
      <c r="E19" s="2" t="s">
        <v>222</v>
      </c>
      <c r="F19" s="2" t="s">
        <v>97</v>
      </c>
      <c r="G19" s="2" t="s">
        <v>97</v>
      </c>
      <c r="H19" s="2" t="s">
        <v>98</v>
      </c>
      <c r="I19" s="2" t="s">
        <v>223</v>
      </c>
      <c r="J19" s="2" t="s">
        <v>0</v>
      </c>
      <c r="K19" s="2" t="s">
        <v>224</v>
      </c>
      <c r="L19" s="2" t="s">
        <v>0</v>
      </c>
      <c r="M19" s="3">
        <v>0</v>
      </c>
      <c r="N19" s="2" t="s">
        <v>0</v>
      </c>
      <c r="O19" s="2" t="s">
        <v>0</v>
      </c>
      <c r="P19" s="6">
        <v>42298</v>
      </c>
      <c r="Q19" s="2" t="s">
        <v>0</v>
      </c>
      <c r="R19" s="2" t="s">
        <v>101</v>
      </c>
      <c r="S19" s="2" t="s">
        <v>101</v>
      </c>
      <c r="T19" s="3">
        <v>0</v>
      </c>
      <c r="U19" s="2" t="s">
        <v>102</v>
      </c>
      <c r="V19" s="2" t="s">
        <v>101</v>
      </c>
      <c r="W19" s="2" t="s">
        <v>101</v>
      </c>
      <c r="X19" s="2" t="s">
        <v>101</v>
      </c>
      <c r="Y19" s="2" t="s">
        <v>0</v>
      </c>
      <c r="Z19" s="2" t="s">
        <v>0</v>
      </c>
      <c r="AA19" s="2" t="s">
        <v>0</v>
      </c>
      <c r="AB19" s="2" t="s">
        <v>0</v>
      </c>
      <c r="AC19" s="2" t="s">
        <v>104</v>
      </c>
      <c r="AD19" s="2" t="s">
        <v>104</v>
      </c>
      <c r="AE19" s="2" t="s">
        <v>104</v>
      </c>
      <c r="AF19" s="6">
        <v>44774</v>
      </c>
      <c r="AG19" s="2" t="s">
        <v>225</v>
      </c>
      <c r="AH19" s="2" t="s">
        <v>222</v>
      </c>
      <c r="AI19" s="2" t="s">
        <v>223</v>
      </c>
      <c r="AJ19" s="2" t="s">
        <v>226</v>
      </c>
      <c r="AK19" s="2">
        <v>1</v>
      </c>
      <c r="AL19" s="2" t="s">
        <v>102</v>
      </c>
      <c r="AM19" s="2" t="s">
        <v>224</v>
      </c>
      <c r="AN19" s="6">
        <v>40903</v>
      </c>
      <c r="AO19" s="2" t="s">
        <v>0</v>
      </c>
      <c r="AP19" s="2" t="s">
        <v>102</v>
      </c>
      <c r="AQ19" s="2" t="s">
        <v>102</v>
      </c>
      <c r="AR19" s="3">
        <v>15</v>
      </c>
      <c r="AS19" s="3">
        <v>3</v>
      </c>
      <c r="AT19" s="3">
        <v>9</v>
      </c>
      <c r="AU19" s="3">
        <v>16</v>
      </c>
      <c r="AV19" s="3">
        <v>15</v>
      </c>
      <c r="AW19" s="3">
        <v>6</v>
      </c>
      <c r="AX19" s="3">
        <v>10</v>
      </c>
      <c r="AY19" s="3">
        <v>14</v>
      </c>
      <c r="AZ19" s="3">
        <v>57</v>
      </c>
      <c r="BA19" s="3">
        <v>333</v>
      </c>
      <c r="BB19" s="3">
        <v>276</v>
      </c>
      <c r="BC19" s="3">
        <v>106</v>
      </c>
      <c r="BD19" s="3">
        <v>51</v>
      </c>
      <c r="BE19" s="3">
        <v>81</v>
      </c>
      <c r="BF19" s="3">
        <v>6</v>
      </c>
      <c r="BG19" s="3">
        <v>15</v>
      </c>
      <c r="BH19" s="3">
        <v>0</v>
      </c>
      <c r="BI19" s="3">
        <v>48</v>
      </c>
    </row>
    <row r="20" spans="1:61" ht="33.75">
      <c r="A20" s="2" t="s">
        <v>121</v>
      </c>
      <c r="B20" s="2" t="s">
        <v>93</v>
      </c>
      <c r="C20" s="2" t="s">
        <v>227</v>
      </c>
      <c r="D20" s="2" t="s">
        <v>228</v>
      </c>
      <c r="E20" s="2" t="s">
        <v>229</v>
      </c>
      <c r="F20" s="2" t="s">
        <v>97</v>
      </c>
      <c r="G20" s="2" t="s">
        <v>97</v>
      </c>
      <c r="H20" s="2" t="s">
        <v>98</v>
      </c>
      <c r="I20" s="2" t="s">
        <v>230</v>
      </c>
      <c r="J20" s="2" t="s">
        <v>0</v>
      </c>
      <c r="K20" s="2" t="s">
        <v>231</v>
      </c>
      <c r="L20" s="2" t="s">
        <v>0</v>
      </c>
      <c r="M20" s="3">
        <v>0</v>
      </c>
      <c r="N20" s="2" t="s">
        <v>0</v>
      </c>
      <c r="O20" s="2" t="s">
        <v>0</v>
      </c>
      <c r="P20" s="6">
        <v>42298</v>
      </c>
      <c r="Q20" s="2" t="s">
        <v>0</v>
      </c>
      <c r="R20" s="2" t="s">
        <v>101</v>
      </c>
      <c r="S20" s="2" t="s">
        <v>101</v>
      </c>
      <c r="T20" s="3">
        <v>0</v>
      </c>
      <c r="U20" s="2" t="s">
        <v>102</v>
      </c>
      <c r="V20" s="2" t="s">
        <v>101</v>
      </c>
      <c r="W20" s="2" t="s">
        <v>101</v>
      </c>
      <c r="X20" s="2" t="s">
        <v>101</v>
      </c>
      <c r="Y20" s="2" t="s">
        <v>0</v>
      </c>
      <c r="Z20" s="2" t="s">
        <v>0</v>
      </c>
      <c r="AA20" s="2" t="s">
        <v>103</v>
      </c>
      <c r="AB20" s="6">
        <v>44774</v>
      </c>
      <c r="AC20" s="2" t="s">
        <v>104</v>
      </c>
      <c r="AD20" s="2" t="s">
        <v>105</v>
      </c>
      <c r="AE20" s="2" t="s">
        <v>232</v>
      </c>
      <c r="AF20" s="6">
        <v>44774</v>
      </c>
      <c r="AG20" s="2" t="s">
        <v>0</v>
      </c>
      <c r="AH20" s="2" t="s">
        <v>0</v>
      </c>
      <c r="AI20" s="2" t="s">
        <v>0</v>
      </c>
      <c r="AJ20" s="2" t="s">
        <v>0</v>
      </c>
      <c r="AK20" s="2" t="s">
        <v>0</v>
      </c>
      <c r="AL20" s="2" t="s">
        <v>0</v>
      </c>
      <c r="AM20" s="2" t="s">
        <v>0</v>
      </c>
      <c r="AN20" s="2" t="s">
        <v>0</v>
      </c>
      <c r="AO20" s="2" t="s">
        <v>0</v>
      </c>
      <c r="AP20" s="2" t="s">
        <v>102</v>
      </c>
      <c r="AQ20" s="2" t="s">
        <v>102</v>
      </c>
      <c r="AR20" s="3">
        <v>3</v>
      </c>
      <c r="AS20" s="3">
        <v>4</v>
      </c>
      <c r="AT20" s="3">
        <v>11</v>
      </c>
      <c r="AU20" s="3">
        <v>24</v>
      </c>
      <c r="AV20" s="3">
        <v>21</v>
      </c>
      <c r="AW20" s="3">
        <v>10</v>
      </c>
      <c r="AX20" s="3">
        <v>20</v>
      </c>
      <c r="AY20" s="3">
        <v>23</v>
      </c>
      <c r="AZ20" s="3">
        <v>103</v>
      </c>
      <c r="BA20" s="3">
        <v>716</v>
      </c>
      <c r="BB20" s="3">
        <v>613</v>
      </c>
      <c r="BC20" s="3">
        <v>179</v>
      </c>
      <c r="BD20" s="3">
        <v>87</v>
      </c>
      <c r="BE20" s="3">
        <v>139</v>
      </c>
      <c r="BF20" s="3">
        <v>7</v>
      </c>
      <c r="BG20" s="3">
        <v>15</v>
      </c>
      <c r="BH20" s="3">
        <v>0</v>
      </c>
      <c r="BI20" s="3">
        <v>10</v>
      </c>
    </row>
    <row r="21" spans="1:61" ht="33.75">
      <c r="A21" s="2" t="s">
        <v>121</v>
      </c>
      <c r="B21" s="2" t="s">
        <v>93</v>
      </c>
      <c r="C21" s="2" t="s">
        <v>233</v>
      </c>
      <c r="D21" s="2" t="s">
        <v>234</v>
      </c>
      <c r="E21" s="2" t="s">
        <v>235</v>
      </c>
      <c r="F21" s="2" t="s">
        <v>97</v>
      </c>
      <c r="G21" s="2" t="s">
        <v>97</v>
      </c>
      <c r="H21" s="2" t="s">
        <v>98</v>
      </c>
      <c r="I21" s="2" t="s">
        <v>236</v>
      </c>
      <c r="J21" s="2" t="s">
        <v>0</v>
      </c>
      <c r="K21" s="2" t="s">
        <v>237</v>
      </c>
      <c r="L21" s="2" t="s">
        <v>0</v>
      </c>
      <c r="M21" s="3">
        <v>0</v>
      </c>
      <c r="N21" s="2" t="s">
        <v>0</v>
      </c>
      <c r="O21" s="2" t="s">
        <v>0</v>
      </c>
      <c r="P21" s="6">
        <v>42298</v>
      </c>
      <c r="Q21" s="2" t="s">
        <v>0</v>
      </c>
      <c r="R21" s="2" t="s">
        <v>101</v>
      </c>
      <c r="S21" s="2" t="s">
        <v>101</v>
      </c>
      <c r="T21" s="3">
        <v>0</v>
      </c>
      <c r="U21" s="2" t="s">
        <v>102</v>
      </c>
      <c r="V21" s="2" t="s">
        <v>101</v>
      </c>
      <c r="W21" s="2" t="s">
        <v>101</v>
      </c>
      <c r="X21" s="2" t="s">
        <v>101</v>
      </c>
      <c r="Y21" s="2" t="s">
        <v>0</v>
      </c>
      <c r="Z21" s="2" t="s">
        <v>0</v>
      </c>
      <c r="AA21" s="2" t="s">
        <v>0</v>
      </c>
      <c r="AB21" s="2" t="s">
        <v>0</v>
      </c>
      <c r="AC21" s="2" t="s">
        <v>104</v>
      </c>
      <c r="AD21" s="2" t="s">
        <v>104</v>
      </c>
      <c r="AE21" s="2" t="s">
        <v>104</v>
      </c>
      <c r="AF21" s="6">
        <v>44774</v>
      </c>
      <c r="AG21" s="2" t="s">
        <v>238</v>
      </c>
      <c r="AH21" s="2" t="s">
        <v>235</v>
      </c>
      <c r="AI21" s="2" t="s">
        <v>236</v>
      </c>
      <c r="AJ21" s="2" t="s">
        <v>239</v>
      </c>
      <c r="AK21" s="2">
        <v>1</v>
      </c>
      <c r="AL21" s="2" t="s">
        <v>102</v>
      </c>
      <c r="AM21" s="2" t="s">
        <v>237</v>
      </c>
      <c r="AN21" s="6">
        <v>40758</v>
      </c>
      <c r="AO21" s="2" t="s">
        <v>0</v>
      </c>
      <c r="AP21" s="2" t="s">
        <v>102</v>
      </c>
      <c r="AQ21" s="2" t="s">
        <v>102</v>
      </c>
      <c r="AR21" s="3">
        <v>18</v>
      </c>
      <c r="AS21" s="3">
        <v>3</v>
      </c>
      <c r="AT21" s="3">
        <v>5</v>
      </c>
      <c r="AU21" s="2" t="s">
        <v>0</v>
      </c>
      <c r="AV21" s="2" t="s">
        <v>0</v>
      </c>
      <c r="AW21" s="2" t="s">
        <v>0</v>
      </c>
      <c r="AX21" s="2" t="s">
        <v>0</v>
      </c>
      <c r="AY21" s="2" t="s">
        <v>0</v>
      </c>
      <c r="AZ21" s="2" t="s">
        <v>0</v>
      </c>
      <c r="BA21" s="2" t="s">
        <v>0</v>
      </c>
      <c r="BB21" s="2" t="s">
        <v>0</v>
      </c>
      <c r="BC21" s="2" t="s">
        <v>0</v>
      </c>
      <c r="BD21" s="2" t="s">
        <v>0</v>
      </c>
      <c r="BE21" s="2" t="s">
        <v>0</v>
      </c>
      <c r="BF21" s="2" t="s">
        <v>0</v>
      </c>
      <c r="BG21" s="3">
        <v>6</v>
      </c>
      <c r="BH21" s="3">
        <v>0</v>
      </c>
      <c r="BI21" s="3">
        <v>17</v>
      </c>
    </row>
    <row r="22" spans="1:61" ht="33.75">
      <c r="A22" s="2" t="s">
        <v>121</v>
      </c>
      <c r="B22" s="2" t="s">
        <v>93</v>
      </c>
      <c r="C22" s="2" t="s">
        <v>240</v>
      </c>
      <c r="D22" s="2" t="s">
        <v>241</v>
      </c>
      <c r="E22" s="2" t="s">
        <v>242</v>
      </c>
      <c r="F22" s="2" t="s">
        <v>97</v>
      </c>
      <c r="G22" s="2" t="s">
        <v>97</v>
      </c>
      <c r="H22" s="2" t="s">
        <v>98</v>
      </c>
      <c r="I22" s="2" t="s">
        <v>243</v>
      </c>
      <c r="J22" s="2" t="s">
        <v>0</v>
      </c>
      <c r="K22" s="2" t="s">
        <v>244</v>
      </c>
      <c r="L22" s="2" t="s">
        <v>0</v>
      </c>
      <c r="M22" s="3">
        <v>0</v>
      </c>
      <c r="N22" s="2" t="s">
        <v>0</v>
      </c>
      <c r="O22" s="2" t="s">
        <v>0</v>
      </c>
      <c r="P22" s="6">
        <v>42298</v>
      </c>
      <c r="Q22" s="2" t="s">
        <v>0</v>
      </c>
      <c r="R22" s="2" t="s">
        <v>101</v>
      </c>
      <c r="S22" s="2" t="s">
        <v>101</v>
      </c>
      <c r="T22" s="3">
        <v>0</v>
      </c>
      <c r="U22" s="2" t="s">
        <v>102</v>
      </c>
      <c r="V22" s="2" t="s">
        <v>101</v>
      </c>
      <c r="W22" s="2" t="s">
        <v>101</v>
      </c>
      <c r="X22" s="2" t="s">
        <v>101</v>
      </c>
      <c r="Y22" s="2" t="s">
        <v>0</v>
      </c>
      <c r="Z22" s="2" t="s">
        <v>0</v>
      </c>
      <c r="AA22" s="2" t="s">
        <v>0</v>
      </c>
      <c r="AB22" s="2" t="s">
        <v>0</v>
      </c>
      <c r="AC22" s="2" t="s">
        <v>104</v>
      </c>
      <c r="AD22" s="2" t="s">
        <v>104</v>
      </c>
      <c r="AE22" s="2" t="s">
        <v>104</v>
      </c>
      <c r="AF22" s="6">
        <v>44774</v>
      </c>
      <c r="AG22" s="2" t="s">
        <v>245</v>
      </c>
      <c r="AH22" s="2" t="s">
        <v>242</v>
      </c>
      <c r="AI22" s="2" t="s">
        <v>243</v>
      </c>
      <c r="AJ22" s="2" t="s">
        <v>120</v>
      </c>
      <c r="AK22" s="2" t="s">
        <v>0</v>
      </c>
      <c r="AL22" s="2" t="s">
        <v>102</v>
      </c>
      <c r="AM22" s="2" t="s">
        <v>244</v>
      </c>
      <c r="AN22" s="6">
        <v>37240</v>
      </c>
      <c r="AO22" s="2" t="s">
        <v>0</v>
      </c>
      <c r="AP22" s="2" t="s">
        <v>102</v>
      </c>
      <c r="AQ22" s="2" t="s">
        <v>102</v>
      </c>
      <c r="AR22" s="3">
        <v>18</v>
      </c>
      <c r="AS22" s="3">
        <v>3</v>
      </c>
      <c r="AT22" s="3">
        <v>5</v>
      </c>
      <c r="AU22" s="2" t="s">
        <v>0</v>
      </c>
      <c r="AV22" s="2" t="s">
        <v>0</v>
      </c>
      <c r="AW22" s="2" t="s">
        <v>0</v>
      </c>
      <c r="AX22" s="2" t="s">
        <v>0</v>
      </c>
      <c r="AY22" s="2" t="s">
        <v>0</v>
      </c>
      <c r="AZ22" s="2" t="s">
        <v>0</v>
      </c>
      <c r="BA22" s="2" t="s">
        <v>0</v>
      </c>
      <c r="BB22" s="2" t="s">
        <v>0</v>
      </c>
      <c r="BC22" s="2" t="s">
        <v>0</v>
      </c>
      <c r="BD22" s="2" t="s">
        <v>0</v>
      </c>
      <c r="BE22" s="2" t="s">
        <v>0</v>
      </c>
      <c r="BF22" s="2" t="s">
        <v>0</v>
      </c>
      <c r="BG22" s="3">
        <v>8</v>
      </c>
      <c r="BH22" s="3">
        <v>0</v>
      </c>
      <c r="BI22" s="3">
        <v>5</v>
      </c>
    </row>
    <row r="23" spans="1:61" ht="33.75">
      <c r="A23" s="2" t="s">
        <v>121</v>
      </c>
      <c r="B23" s="2" t="s">
        <v>93</v>
      </c>
      <c r="C23" s="2" t="s">
        <v>246</v>
      </c>
      <c r="D23" s="2" t="s">
        <v>247</v>
      </c>
      <c r="E23" s="2" t="s">
        <v>31</v>
      </c>
      <c r="F23" s="2" t="s">
        <v>97</v>
      </c>
      <c r="G23" s="2" t="s">
        <v>97</v>
      </c>
      <c r="H23" s="2" t="s">
        <v>98</v>
      </c>
      <c r="I23" s="2" t="s">
        <v>248</v>
      </c>
      <c r="J23" s="2" t="s">
        <v>0</v>
      </c>
      <c r="K23" s="2" t="s">
        <v>249</v>
      </c>
      <c r="L23" s="2" t="s">
        <v>0</v>
      </c>
      <c r="M23" s="3">
        <v>0</v>
      </c>
      <c r="N23" s="2" t="s">
        <v>0</v>
      </c>
      <c r="O23" s="2" t="s">
        <v>0</v>
      </c>
      <c r="P23" s="6">
        <v>42298</v>
      </c>
      <c r="Q23" s="2" t="s">
        <v>0</v>
      </c>
      <c r="R23" s="2" t="s">
        <v>101</v>
      </c>
      <c r="S23" s="2" t="s">
        <v>101</v>
      </c>
      <c r="T23" s="3">
        <v>0</v>
      </c>
      <c r="U23" s="2" t="s">
        <v>102</v>
      </c>
      <c r="V23" s="2" t="s">
        <v>101</v>
      </c>
      <c r="W23" s="2" t="s">
        <v>101</v>
      </c>
      <c r="X23" s="2" t="s">
        <v>101</v>
      </c>
      <c r="Y23" s="2" t="s">
        <v>0</v>
      </c>
      <c r="Z23" s="2" t="s">
        <v>0</v>
      </c>
      <c r="AA23" s="2" t="s">
        <v>0</v>
      </c>
      <c r="AB23" s="2" t="s">
        <v>0</v>
      </c>
      <c r="AC23" s="2" t="s">
        <v>104</v>
      </c>
      <c r="AD23" s="2" t="s">
        <v>104</v>
      </c>
      <c r="AE23" s="2" t="s">
        <v>104</v>
      </c>
      <c r="AF23" s="6">
        <v>44774</v>
      </c>
      <c r="AG23" s="2" t="s">
        <v>250</v>
      </c>
      <c r="AH23" s="2" t="s">
        <v>31</v>
      </c>
      <c r="AI23" s="2" t="s">
        <v>248</v>
      </c>
      <c r="AJ23" s="2" t="s">
        <v>251</v>
      </c>
      <c r="AK23" s="18">
        <v>0</v>
      </c>
      <c r="AL23" s="2" t="s">
        <v>102</v>
      </c>
      <c r="AM23" s="2" t="s">
        <v>249</v>
      </c>
      <c r="AN23" s="6">
        <v>44142</v>
      </c>
      <c r="AO23" s="2" t="s">
        <v>0</v>
      </c>
      <c r="AP23" s="2" t="s">
        <v>102</v>
      </c>
      <c r="AQ23" s="2" t="s">
        <v>102</v>
      </c>
      <c r="AR23" s="3">
        <v>2</v>
      </c>
      <c r="AS23" s="3">
        <v>4</v>
      </c>
      <c r="AT23" s="3">
        <v>13</v>
      </c>
      <c r="AU23" s="2" t="s">
        <v>0</v>
      </c>
      <c r="AV23" s="2" t="s">
        <v>0</v>
      </c>
      <c r="AW23" s="2" t="s">
        <v>0</v>
      </c>
      <c r="AX23" s="2" t="s">
        <v>0</v>
      </c>
      <c r="AY23" s="2" t="s">
        <v>0</v>
      </c>
      <c r="AZ23" s="2" t="s">
        <v>0</v>
      </c>
      <c r="BA23" s="2" t="s">
        <v>0</v>
      </c>
      <c r="BB23" s="2" t="s">
        <v>0</v>
      </c>
      <c r="BC23" s="2" t="s">
        <v>0</v>
      </c>
      <c r="BD23" s="2" t="s">
        <v>0</v>
      </c>
      <c r="BE23" s="2" t="s">
        <v>0</v>
      </c>
      <c r="BF23" s="2" t="s">
        <v>0</v>
      </c>
      <c r="BG23" s="3">
        <v>19</v>
      </c>
      <c r="BH23" s="3">
        <v>0</v>
      </c>
      <c r="BI23" s="3">
        <v>5</v>
      </c>
    </row>
    <row r="24" spans="1:61" ht="33.75">
      <c r="A24" s="2" t="s">
        <v>26</v>
      </c>
      <c r="B24" s="2" t="s">
        <v>93</v>
      </c>
      <c r="C24" s="2" t="s">
        <v>252</v>
      </c>
      <c r="D24" s="2" t="s">
        <v>253</v>
      </c>
      <c r="E24" s="2" t="s">
        <v>254</v>
      </c>
      <c r="F24" s="2" t="s">
        <v>97</v>
      </c>
      <c r="G24" s="2" t="s">
        <v>97</v>
      </c>
      <c r="H24" s="2" t="s">
        <v>98</v>
      </c>
      <c r="I24" s="2" t="s">
        <v>255</v>
      </c>
      <c r="J24" s="2" t="s">
        <v>0</v>
      </c>
      <c r="K24" s="2" t="s">
        <v>0</v>
      </c>
      <c r="L24" s="2" t="s">
        <v>0</v>
      </c>
      <c r="M24" s="3">
        <v>0</v>
      </c>
      <c r="N24" s="2" t="s">
        <v>0</v>
      </c>
      <c r="O24" s="2" t="s">
        <v>0</v>
      </c>
      <c r="P24" s="6">
        <v>42298</v>
      </c>
      <c r="Q24" s="2" t="s">
        <v>0</v>
      </c>
      <c r="R24" s="2" t="s">
        <v>101</v>
      </c>
      <c r="S24" s="2" t="s">
        <v>101</v>
      </c>
      <c r="T24" s="3">
        <v>0</v>
      </c>
      <c r="U24" s="2" t="s">
        <v>101</v>
      </c>
      <c r="V24" s="2" t="s">
        <v>102</v>
      </c>
      <c r="W24" s="2" t="s">
        <v>101</v>
      </c>
      <c r="X24" s="2" t="s">
        <v>101</v>
      </c>
      <c r="Y24" s="2" t="s">
        <v>0</v>
      </c>
      <c r="Z24" s="2" t="s">
        <v>0</v>
      </c>
      <c r="AA24" s="2" t="s">
        <v>0</v>
      </c>
      <c r="AB24" s="2" t="s">
        <v>0</v>
      </c>
      <c r="AC24" s="2" t="s">
        <v>147</v>
      </c>
      <c r="AD24" s="2" t="s">
        <v>147</v>
      </c>
      <c r="AE24" s="2" t="s">
        <v>147</v>
      </c>
      <c r="AF24" s="6">
        <v>44774</v>
      </c>
      <c r="AG24" s="2" t="s">
        <v>256</v>
      </c>
      <c r="AH24" s="2" t="s">
        <v>254</v>
      </c>
      <c r="AI24" s="2" t="s">
        <v>255</v>
      </c>
      <c r="AJ24" s="2" t="s">
        <v>257</v>
      </c>
      <c r="AK24" s="2">
        <v>1</v>
      </c>
      <c r="AL24" s="2" t="s">
        <v>102</v>
      </c>
      <c r="AM24" s="2" t="s">
        <v>258</v>
      </c>
      <c r="AN24" s="6">
        <v>37005</v>
      </c>
      <c r="AO24" s="2" t="s">
        <v>0</v>
      </c>
      <c r="AP24" s="2" t="s">
        <v>102</v>
      </c>
      <c r="AQ24" s="2" t="s">
        <v>102</v>
      </c>
      <c r="AR24" s="3">
        <v>14</v>
      </c>
      <c r="AS24" s="3">
        <v>3</v>
      </c>
      <c r="AT24" s="3">
        <v>11</v>
      </c>
      <c r="AU24" s="3">
        <v>20</v>
      </c>
      <c r="AV24" s="3">
        <v>13</v>
      </c>
      <c r="AW24" s="3">
        <v>9</v>
      </c>
      <c r="AX24" s="3">
        <v>14</v>
      </c>
      <c r="AY24" s="3">
        <v>16</v>
      </c>
      <c r="AZ24" s="3">
        <v>83</v>
      </c>
      <c r="BA24" s="3">
        <v>598</v>
      </c>
      <c r="BB24" s="3">
        <v>515</v>
      </c>
      <c r="BC24" s="3">
        <v>143</v>
      </c>
      <c r="BD24" s="3">
        <v>68</v>
      </c>
      <c r="BE24" s="3">
        <v>117</v>
      </c>
      <c r="BF24" s="3">
        <v>7</v>
      </c>
      <c r="BG24" s="3">
        <v>8</v>
      </c>
      <c r="BH24" s="3">
        <v>0</v>
      </c>
      <c r="BI24" s="3">
        <v>3</v>
      </c>
    </row>
    <row r="25" spans="1:61" ht="33.75">
      <c r="A25" s="2" t="s">
        <v>26</v>
      </c>
      <c r="B25" s="2" t="s">
        <v>93</v>
      </c>
      <c r="C25" s="2" t="s">
        <v>259</v>
      </c>
      <c r="D25" s="2" t="s">
        <v>260</v>
      </c>
      <c r="E25" s="2" t="s">
        <v>261</v>
      </c>
      <c r="F25" s="2" t="s">
        <v>97</v>
      </c>
      <c r="G25" s="2" t="s">
        <v>97</v>
      </c>
      <c r="H25" s="2" t="s">
        <v>98</v>
      </c>
      <c r="I25" s="2" t="s">
        <v>262</v>
      </c>
      <c r="J25" s="2" t="s">
        <v>0</v>
      </c>
      <c r="K25" s="2" t="s">
        <v>263</v>
      </c>
      <c r="L25" s="2" t="s">
        <v>0</v>
      </c>
      <c r="M25" s="3">
        <v>0</v>
      </c>
      <c r="N25" s="2" t="s">
        <v>0</v>
      </c>
      <c r="O25" s="2" t="s">
        <v>0</v>
      </c>
      <c r="P25" s="6">
        <v>42298</v>
      </c>
      <c r="Q25" s="2" t="s">
        <v>0</v>
      </c>
      <c r="R25" s="2" t="s">
        <v>101</v>
      </c>
      <c r="S25" s="2" t="s">
        <v>101</v>
      </c>
      <c r="T25" s="3">
        <v>0</v>
      </c>
      <c r="U25" s="2" t="s">
        <v>102</v>
      </c>
      <c r="V25" s="2" t="s">
        <v>101</v>
      </c>
      <c r="W25" s="2" t="s">
        <v>101</v>
      </c>
      <c r="X25" s="2" t="s">
        <v>101</v>
      </c>
      <c r="Y25" s="2" t="s">
        <v>0</v>
      </c>
      <c r="Z25" s="2" t="s">
        <v>0</v>
      </c>
      <c r="AA25" s="2" t="s">
        <v>0</v>
      </c>
      <c r="AB25" s="2" t="s">
        <v>0</v>
      </c>
      <c r="AC25" s="2" t="s">
        <v>104</v>
      </c>
      <c r="AD25" s="2" t="s">
        <v>104</v>
      </c>
      <c r="AE25" s="2" t="s">
        <v>104</v>
      </c>
      <c r="AF25" s="6">
        <v>44774</v>
      </c>
      <c r="AG25" s="2" t="s">
        <v>264</v>
      </c>
      <c r="AH25" s="2" t="s">
        <v>261</v>
      </c>
      <c r="AI25" s="2" t="s">
        <v>262</v>
      </c>
      <c r="AJ25" s="2" t="s">
        <v>265</v>
      </c>
      <c r="AK25" s="2">
        <v>1</v>
      </c>
      <c r="AL25" s="2" t="s">
        <v>102</v>
      </c>
      <c r="AM25" s="2" t="s">
        <v>263</v>
      </c>
      <c r="AN25" s="6">
        <v>37343</v>
      </c>
      <c r="AO25" s="2" t="s">
        <v>0</v>
      </c>
      <c r="AP25" s="2" t="s">
        <v>102</v>
      </c>
      <c r="AQ25" s="2" t="s">
        <v>102</v>
      </c>
      <c r="AR25" s="3">
        <v>13</v>
      </c>
      <c r="AS25" s="3">
        <v>3</v>
      </c>
      <c r="AT25" s="3">
        <v>11</v>
      </c>
      <c r="AU25" s="3">
        <v>53</v>
      </c>
      <c r="AV25" s="3">
        <v>22</v>
      </c>
      <c r="AW25" s="3">
        <v>28</v>
      </c>
      <c r="AX25" s="3">
        <v>41</v>
      </c>
      <c r="AY25" s="3">
        <v>38</v>
      </c>
      <c r="AZ25" s="3">
        <v>109</v>
      </c>
      <c r="BA25" s="3">
        <v>713</v>
      </c>
      <c r="BB25" s="3">
        <v>604</v>
      </c>
      <c r="BC25" s="3">
        <v>218</v>
      </c>
      <c r="BD25" s="3">
        <v>94</v>
      </c>
      <c r="BE25" s="3">
        <v>165</v>
      </c>
      <c r="BF25" s="3">
        <v>6</v>
      </c>
      <c r="BG25" s="3">
        <v>19</v>
      </c>
      <c r="BH25" s="3">
        <v>0</v>
      </c>
      <c r="BI25" s="3">
        <v>23</v>
      </c>
    </row>
    <row r="26" spans="1:61" ht="33.75">
      <c r="A26" s="2" t="s">
        <v>121</v>
      </c>
      <c r="B26" s="2" t="s">
        <v>93</v>
      </c>
      <c r="C26" s="2" t="s">
        <v>266</v>
      </c>
      <c r="D26" s="2" t="s">
        <v>267</v>
      </c>
      <c r="E26" s="2" t="s">
        <v>268</v>
      </c>
      <c r="F26" s="2" t="s">
        <v>97</v>
      </c>
      <c r="G26" s="2" t="s">
        <v>97</v>
      </c>
      <c r="H26" s="2" t="s">
        <v>98</v>
      </c>
      <c r="I26" s="2" t="s">
        <v>269</v>
      </c>
      <c r="J26" s="2" t="s">
        <v>0</v>
      </c>
      <c r="K26" s="2" t="s">
        <v>0</v>
      </c>
      <c r="L26" s="2" t="s">
        <v>0</v>
      </c>
      <c r="M26" s="3">
        <v>0</v>
      </c>
      <c r="N26" s="2" t="s">
        <v>0</v>
      </c>
      <c r="O26" s="2" t="s">
        <v>0</v>
      </c>
      <c r="P26" s="6">
        <v>42298</v>
      </c>
      <c r="Q26" s="2" t="s">
        <v>0</v>
      </c>
      <c r="R26" s="2" t="s">
        <v>101</v>
      </c>
      <c r="S26" s="2" t="s">
        <v>101</v>
      </c>
      <c r="T26" s="3">
        <v>0</v>
      </c>
      <c r="U26" s="2" t="s">
        <v>102</v>
      </c>
      <c r="V26" s="2" t="s">
        <v>101</v>
      </c>
      <c r="W26" s="2" t="s">
        <v>101</v>
      </c>
      <c r="X26" s="2" t="s">
        <v>101</v>
      </c>
      <c r="Y26" s="2" t="s">
        <v>0</v>
      </c>
      <c r="Z26" s="2" t="s">
        <v>0</v>
      </c>
      <c r="AA26" s="2" t="s">
        <v>103</v>
      </c>
      <c r="AB26" s="6">
        <v>44774</v>
      </c>
      <c r="AC26" s="2" t="s">
        <v>147</v>
      </c>
      <c r="AD26" s="2" t="s">
        <v>105</v>
      </c>
      <c r="AE26" s="2" t="s">
        <v>270</v>
      </c>
      <c r="AF26" s="6">
        <v>44774</v>
      </c>
      <c r="AG26" s="2" t="s">
        <v>0</v>
      </c>
      <c r="AH26" s="2" t="s">
        <v>0</v>
      </c>
      <c r="AI26" s="2" t="s">
        <v>0</v>
      </c>
      <c r="AJ26" s="2" t="s">
        <v>0</v>
      </c>
      <c r="AK26" s="2" t="s">
        <v>0</v>
      </c>
      <c r="AL26" s="2" t="s">
        <v>0</v>
      </c>
      <c r="AM26" s="2" t="s">
        <v>0</v>
      </c>
      <c r="AN26" s="2" t="s">
        <v>0</v>
      </c>
      <c r="AO26" s="2" t="s">
        <v>0</v>
      </c>
      <c r="AP26" s="2" t="s">
        <v>102</v>
      </c>
      <c r="AQ26" s="2" t="s">
        <v>102</v>
      </c>
      <c r="AR26" s="3">
        <v>4</v>
      </c>
      <c r="AS26" s="3">
        <v>4</v>
      </c>
      <c r="AT26" s="3">
        <v>6</v>
      </c>
      <c r="AU26" s="2" t="s">
        <v>0</v>
      </c>
      <c r="AV26" s="2" t="s">
        <v>0</v>
      </c>
      <c r="AW26" s="2" t="s">
        <v>0</v>
      </c>
      <c r="AX26" s="2" t="s">
        <v>0</v>
      </c>
      <c r="AY26" s="2" t="s">
        <v>0</v>
      </c>
      <c r="AZ26" s="2" t="s">
        <v>0</v>
      </c>
      <c r="BA26" s="2" t="s">
        <v>0</v>
      </c>
      <c r="BB26" s="2" t="s">
        <v>0</v>
      </c>
      <c r="BC26" s="2" t="s">
        <v>0</v>
      </c>
      <c r="BD26" s="2" t="s">
        <v>0</v>
      </c>
      <c r="BE26" s="2" t="s">
        <v>0</v>
      </c>
      <c r="BF26" s="2" t="s">
        <v>0</v>
      </c>
      <c r="BG26" s="3">
        <v>8</v>
      </c>
      <c r="BH26" s="3">
        <v>0</v>
      </c>
      <c r="BI26" s="3">
        <v>5</v>
      </c>
    </row>
    <row r="27" spans="1:61" ht="33.75">
      <c r="A27" s="2" t="s">
        <v>121</v>
      </c>
      <c r="B27" s="2" t="s">
        <v>93</v>
      </c>
      <c r="C27" s="2" t="s">
        <v>271</v>
      </c>
      <c r="D27" s="2" t="s">
        <v>272</v>
      </c>
      <c r="E27" s="2" t="s">
        <v>273</v>
      </c>
      <c r="F27" s="2" t="s">
        <v>97</v>
      </c>
      <c r="G27" s="2" t="s">
        <v>97</v>
      </c>
      <c r="H27" s="2" t="s">
        <v>98</v>
      </c>
      <c r="I27" s="2" t="s">
        <v>274</v>
      </c>
      <c r="J27" s="2" t="s">
        <v>0</v>
      </c>
      <c r="K27" s="2" t="s">
        <v>275</v>
      </c>
      <c r="L27" s="2" t="s">
        <v>0</v>
      </c>
      <c r="M27" s="3">
        <v>0</v>
      </c>
      <c r="N27" s="2" t="s">
        <v>0</v>
      </c>
      <c r="O27" s="2" t="s">
        <v>0</v>
      </c>
      <c r="P27" s="6">
        <v>42298</v>
      </c>
      <c r="Q27" s="2" t="s">
        <v>0</v>
      </c>
      <c r="R27" s="2" t="s">
        <v>101</v>
      </c>
      <c r="S27" s="2" t="s">
        <v>101</v>
      </c>
      <c r="T27" s="3">
        <v>0</v>
      </c>
      <c r="U27" s="2" t="s">
        <v>101</v>
      </c>
      <c r="V27" s="2" t="s">
        <v>102</v>
      </c>
      <c r="W27" s="2" t="s">
        <v>101</v>
      </c>
      <c r="X27" s="2" t="s">
        <v>101</v>
      </c>
      <c r="Y27" s="2" t="s">
        <v>0</v>
      </c>
      <c r="Z27" s="2" t="s">
        <v>0</v>
      </c>
      <c r="AA27" s="2" t="s">
        <v>0</v>
      </c>
      <c r="AB27" s="2" t="s">
        <v>0</v>
      </c>
      <c r="AC27" s="2" t="s">
        <v>104</v>
      </c>
      <c r="AD27" s="2" t="s">
        <v>104</v>
      </c>
      <c r="AE27" s="2" t="s">
        <v>104</v>
      </c>
      <c r="AF27" s="6">
        <v>44774</v>
      </c>
      <c r="AG27" s="2" t="s">
        <v>276</v>
      </c>
      <c r="AH27" s="2" t="s">
        <v>273</v>
      </c>
      <c r="AI27" s="2" t="s">
        <v>274</v>
      </c>
      <c r="AJ27" s="2" t="s">
        <v>277</v>
      </c>
      <c r="AK27" s="2">
        <v>1</v>
      </c>
      <c r="AL27" s="2" t="s">
        <v>102</v>
      </c>
      <c r="AM27" s="2" t="s">
        <v>278</v>
      </c>
      <c r="AN27" s="6">
        <v>42157</v>
      </c>
      <c r="AO27" s="2" t="s">
        <v>0</v>
      </c>
      <c r="AP27" s="2" t="s">
        <v>101</v>
      </c>
      <c r="AQ27" s="2" t="s">
        <v>102</v>
      </c>
      <c r="AR27" s="3">
        <v>16</v>
      </c>
      <c r="AS27" s="3">
        <v>3</v>
      </c>
      <c r="AT27" s="3">
        <v>7</v>
      </c>
      <c r="AU27" s="2" t="s">
        <v>0</v>
      </c>
      <c r="AV27" s="2" t="s">
        <v>0</v>
      </c>
      <c r="AW27" s="2" t="s">
        <v>0</v>
      </c>
      <c r="AX27" s="2" t="s">
        <v>0</v>
      </c>
      <c r="AY27" s="2" t="s">
        <v>0</v>
      </c>
      <c r="AZ27" s="2" t="s">
        <v>0</v>
      </c>
      <c r="BA27" s="2" t="s">
        <v>0</v>
      </c>
      <c r="BB27" s="2" t="s">
        <v>0</v>
      </c>
      <c r="BC27" s="2" t="s">
        <v>0</v>
      </c>
      <c r="BD27" s="2" t="s">
        <v>0</v>
      </c>
      <c r="BE27" s="2" t="s">
        <v>0</v>
      </c>
      <c r="BF27" s="2" t="s">
        <v>0</v>
      </c>
      <c r="BG27" s="3">
        <v>1</v>
      </c>
      <c r="BH27" s="3">
        <v>0</v>
      </c>
      <c r="BI27" s="3">
        <v>1</v>
      </c>
    </row>
    <row r="28" spans="1:61" ht="33.75">
      <c r="A28" s="2" t="s">
        <v>121</v>
      </c>
      <c r="B28" s="2" t="s">
        <v>885</v>
      </c>
      <c r="C28" s="2" t="s">
        <v>279</v>
      </c>
      <c r="D28" s="2" t="s">
        <v>280</v>
      </c>
      <c r="E28" s="2" t="s">
        <v>281</v>
      </c>
      <c r="F28" s="2" t="s">
        <v>97</v>
      </c>
      <c r="G28" s="2" t="s">
        <v>97</v>
      </c>
      <c r="H28" s="2" t="s">
        <v>98</v>
      </c>
      <c r="I28" s="2" t="s">
        <v>282</v>
      </c>
      <c r="J28" s="2" t="s">
        <v>0</v>
      </c>
      <c r="K28" s="2" t="s">
        <v>0</v>
      </c>
      <c r="L28" s="2" t="s">
        <v>0</v>
      </c>
      <c r="M28" s="3">
        <v>0</v>
      </c>
      <c r="N28" s="2" t="s">
        <v>0</v>
      </c>
      <c r="O28" s="2" t="s">
        <v>0</v>
      </c>
      <c r="P28" s="6">
        <v>42298</v>
      </c>
      <c r="Q28" s="2" t="s">
        <v>0</v>
      </c>
      <c r="R28" s="2" t="s">
        <v>101</v>
      </c>
      <c r="S28" s="2" t="s">
        <v>101</v>
      </c>
      <c r="T28" s="3">
        <v>0</v>
      </c>
      <c r="U28" s="2" t="s">
        <v>102</v>
      </c>
      <c r="V28" s="2" t="s">
        <v>101</v>
      </c>
      <c r="W28" s="2" t="s">
        <v>101</v>
      </c>
      <c r="X28" s="2" t="s">
        <v>101</v>
      </c>
      <c r="Y28" s="2" t="s">
        <v>0</v>
      </c>
      <c r="Z28" s="2" t="s">
        <v>0</v>
      </c>
      <c r="AA28" s="2" t="s">
        <v>0</v>
      </c>
      <c r="AB28" s="2" t="s">
        <v>0</v>
      </c>
      <c r="AC28" s="2" t="s">
        <v>147</v>
      </c>
      <c r="AD28" s="2" t="s">
        <v>147</v>
      </c>
      <c r="AE28" s="2" t="s">
        <v>147</v>
      </c>
      <c r="AF28" s="6">
        <v>44774</v>
      </c>
      <c r="AG28" s="2" t="s">
        <v>283</v>
      </c>
      <c r="AH28" s="2" t="s">
        <v>281</v>
      </c>
      <c r="AI28" s="2" t="s">
        <v>282</v>
      </c>
      <c r="AJ28" s="2" t="s">
        <v>142</v>
      </c>
      <c r="AK28" s="2">
        <v>1</v>
      </c>
      <c r="AL28" s="2" t="s">
        <v>102</v>
      </c>
      <c r="AM28" s="2" t="s">
        <v>284</v>
      </c>
      <c r="AN28" s="6">
        <v>38429</v>
      </c>
      <c r="AO28" s="2" t="s">
        <v>0</v>
      </c>
      <c r="AP28" s="2" t="s">
        <v>102</v>
      </c>
      <c r="AQ28" s="2" t="s">
        <v>102</v>
      </c>
      <c r="AR28" s="3">
        <v>16</v>
      </c>
      <c r="AS28" s="3">
        <v>3</v>
      </c>
      <c r="AT28" s="3">
        <v>7</v>
      </c>
      <c r="AU28" s="2" t="s">
        <v>0</v>
      </c>
      <c r="AV28" s="2" t="s">
        <v>0</v>
      </c>
      <c r="AW28" s="2" t="s">
        <v>0</v>
      </c>
      <c r="AX28" s="2" t="s">
        <v>0</v>
      </c>
      <c r="AY28" s="2" t="s">
        <v>0</v>
      </c>
      <c r="AZ28" s="2" t="s">
        <v>0</v>
      </c>
      <c r="BA28" s="2" t="s">
        <v>0</v>
      </c>
      <c r="BB28" s="2" t="s">
        <v>0</v>
      </c>
      <c r="BC28" s="2" t="s">
        <v>0</v>
      </c>
      <c r="BD28" s="2" t="s">
        <v>0</v>
      </c>
      <c r="BE28" s="2" t="s">
        <v>0</v>
      </c>
      <c r="BF28" s="2" t="s">
        <v>0</v>
      </c>
      <c r="BG28" s="3">
        <v>15</v>
      </c>
      <c r="BH28" s="3">
        <v>0</v>
      </c>
      <c r="BI28" s="3">
        <v>2</v>
      </c>
    </row>
    <row r="29" spans="1:61" ht="33.75">
      <c r="A29" s="2" t="s">
        <v>121</v>
      </c>
      <c r="B29" s="2" t="s">
        <v>93</v>
      </c>
      <c r="C29" s="2" t="s">
        <v>285</v>
      </c>
      <c r="D29" s="2" t="s">
        <v>286</v>
      </c>
      <c r="E29" s="2" t="s">
        <v>287</v>
      </c>
      <c r="F29" s="2" t="s">
        <v>97</v>
      </c>
      <c r="G29" s="2" t="s">
        <v>97</v>
      </c>
      <c r="H29" s="2" t="s">
        <v>98</v>
      </c>
      <c r="I29" s="2" t="s">
        <v>288</v>
      </c>
      <c r="J29" s="2" t="s">
        <v>0</v>
      </c>
      <c r="K29" s="2" t="s">
        <v>289</v>
      </c>
      <c r="L29" s="2" t="s">
        <v>0</v>
      </c>
      <c r="M29" s="3">
        <v>0</v>
      </c>
      <c r="N29" s="2" t="s">
        <v>0</v>
      </c>
      <c r="O29" s="2" t="s">
        <v>0</v>
      </c>
      <c r="P29" s="6">
        <v>42298</v>
      </c>
      <c r="Q29" s="2" t="s">
        <v>0</v>
      </c>
      <c r="R29" s="2" t="s">
        <v>101</v>
      </c>
      <c r="S29" s="2" t="s">
        <v>101</v>
      </c>
      <c r="T29" s="3">
        <v>0</v>
      </c>
      <c r="U29" s="2" t="s">
        <v>102</v>
      </c>
      <c r="V29" s="2" t="s">
        <v>101</v>
      </c>
      <c r="W29" s="2" t="s">
        <v>101</v>
      </c>
      <c r="X29" s="2" t="s">
        <v>101</v>
      </c>
      <c r="Y29" s="2" t="s">
        <v>0</v>
      </c>
      <c r="Z29" s="2" t="s">
        <v>0</v>
      </c>
      <c r="AA29" s="2" t="s">
        <v>0</v>
      </c>
      <c r="AB29" s="2" t="s">
        <v>0</v>
      </c>
      <c r="AC29" s="2" t="s">
        <v>104</v>
      </c>
      <c r="AD29" s="2" t="s">
        <v>104</v>
      </c>
      <c r="AE29" s="2" t="s">
        <v>104</v>
      </c>
      <c r="AF29" s="6">
        <v>44774</v>
      </c>
      <c r="AG29" s="2" t="s">
        <v>290</v>
      </c>
      <c r="AH29" s="2" t="s">
        <v>287</v>
      </c>
      <c r="AI29" s="2" t="s">
        <v>288</v>
      </c>
      <c r="AJ29" s="2" t="s">
        <v>291</v>
      </c>
      <c r="AK29" s="2">
        <v>1</v>
      </c>
      <c r="AL29" s="2" t="s">
        <v>102</v>
      </c>
      <c r="AM29" s="2" t="s">
        <v>289</v>
      </c>
      <c r="AN29" s="6">
        <v>36894</v>
      </c>
      <c r="AO29" s="2" t="s">
        <v>0</v>
      </c>
      <c r="AP29" s="2" t="s">
        <v>102</v>
      </c>
      <c r="AQ29" s="2" t="s">
        <v>102</v>
      </c>
      <c r="AR29" s="3">
        <v>16</v>
      </c>
      <c r="AS29" s="3">
        <v>3</v>
      </c>
      <c r="AT29" s="3">
        <v>7</v>
      </c>
      <c r="AU29" s="2" t="s">
        <v>0</v>
      </c>
      <c r="AV29" s="2" t="s">
        <v>0</v>
      </c>
      <c r="AW29" s="2" t="s">
        <v>0</v>
      </c>
      <c r="AX29" s="2" t="s">
        <v>0</v>
      </c>
      <c r="AY29" s="2" t="s">
        <v>0</v>
      </c>
      <c r="AZ29" s="2" t="s">
        <v>0</v>
      </c>
      <c r="BA29" s="2" t="s">
        <v>0</v>
      </c>
      <c r="BB29" s="2" t="s">
        <v>0</v>
      </c>
      <c r="BC29" s="2" t="s">
        <v>0</v>
      </c>
      <c r="BD29" s="2" t="s">
        <v>0</v>
      </c>
      <c r="BE29" s="2" t="s">
        <v>0</v>
      </c>
      <c r="BF29" s="2" t="s">
        <v>0</v>
      </c>
      <c r="BG29" s="3">
        <v>1</v>
      </c>
      <c r="BH29" s="3">
        <v>0</v>
      </c>
      <c r="BI29" s="3">
        <v>8</v>
      </c>
    </row>
    <row r="30" spans="1:61" ht="33.75">
      <c r="A30" s="2" t="s">
        <v>121</v>
      </c>
      <c r="B30" s="2" t="s">
        <v>93</v>
      </c>
      <c r="C30" s="2" t="s">
        <v>292</v>
      </c>
      <c r="D30" s="2" t="s">
        <v>293</v>
      </c>
      <c r="E30" s="2" t="s">
        <v>294</v>
      </c>
      <c r="F30" s="2" t="s">
        <v>97</v>
      </c>
      <c r="G30" s="2" t="s">
        <v>97</v>
      </c>
      <c r="H30" s="2" t="s">
        <v>98</v>
      </c>
      <c r="I30" s="2" t="s">
        <v>295</v>
      </c>
      <c r="J30" s="2" t="s">
        <v>0</v>
      </c>
      <c r="K30" s="2" t="s">
        <v>296</v>
      </c>
      <c r="L30" s="2" t="s">
        <v>0</v>
      </c>
      <c r="M30" s="3">
        <v>0</v>
      </c>
      <c r="N30" s="2" t="s">
        <v>0</v>
      </c>
      <c r="O30" s="2" t="s">
        <v>0</v>
      </c>
      <c r="P30" s="6">
        <v>42298</v>
      </c>
      <c r="Q30" s="2" t="s">
        <v>0</v>
      </c>
      <c r="R30" s="2" t="s">
        <v>101</v>
      </c>
      <c r="S30" s="2" t="s">
        <v>101</v>
      </c>
      <c r="T30" s="3">
        <v>0</v>
      </c>
      <c r="U30" s="2" t="s">
        <v>102</v>
      </c>
      <c r="V30" s="2" t="s">
        <v>101</v>
      </c>
      <c r="W30" s="2" t="s">
        <v>101</v>
      </c>
      <c r="X30" s="2" t="s">
        <v>101</v>
      </c>
      <c r="Y30" s="2" t="s">
        <v>0</v>
      </c>
      <c r="Z30" s="2" t="s">
        <v>0</v>
      </c>
      <c r="AA30" s="2" t="s">
        <v>103</v>
      </c>
      <c r="AB30" s="6">
        <v>44774</v>
      </c>
      <c r="AC30" s="2" t="s">
        <v>104</v>
      </c>
      <c r="AD30" s="2" t="s">
        <v>105</v>
      </c>
      <c r="AE30" s="2" t="s">
        <v>297</v>
      </c>
      <c r="AF30" s="6">
        <v>44774</v>
      </c>
      <c r="AG30" s="2" t="s">
        <v>0</v>
      </c>
      <c r="AH30" s="2" t="s">
        <v>0</v>
      </c>
      <c r="AI30" s="2" t="s">
        <v>0</v>
      </c>
      <c r="AJ30" s="2" t="s">
        <v>0</v>
      </c>
      <c r="AK30" s="2" t="s">
        <v>0</v>
      </c>
      <c r="AL30" s="2" t="s">
        <v>0</v>
      </c>
      <c r="AM30" s="2" t="s">
        <v>0</v>
      </c>
      <c r="AN30" s="2" t="s">
        <v>0</v>
      </c>
      <c r="AO30" s="2" t="s">
        <v>0</v>
      </c>
      <c r="AP30" s="2" t="s">
        <v>102</v>
      </c>
      <c r="AQ30" s="2" t="s">
        <v>102</v>
      </c>
      <c r="AR30" s="3">
        <v>4</v>
      </c>
      <c r="AS30" s="3">
        <v>4</v>
      </c>
      <c r="AT30" s="3">
        <v>6</v>
      </c>
      <c r="AU30" s="2" t="s">
        <v>0</v>
      </c>
      <c r="AV30" s="2" t="s">
        <v>0</v>
      </c>
      <c r="AW30" s="2" t="s">
        <v>0</v>
      </c>
      <c r="AX30" s="2" t="s">
        <v>0</v>
      </c>
      <c r="AY30" s="2" t="s">
        <v>0</v>
      </c>
      <c r="AZ30" s="2" t="s">
        <v>0</v>
      </c>
      <c r="BA30" s="2" t="s">
        <v>0</v>
      </c>
      <c r="BB30" s="2" t="s">
        <v>0</v>
      </c>
      <c r="BC30" s="2" t="s">
        <v>0</v>
      </c>
      <c r="BD30" s="2" t="s">
        <v>0</v>
      </c>
      <c r="BE30" s="2" t="s">
        <v>0</v>
      </c>
      <c r="BF30" s="2" t="s">
        <v>0</v>
      </c>
      <c r="BG30" s="3">
        <v>8</v>
      </c>
      <c r="BH30" s="3">
        <v>0</v>
      </c>
      <c r="BI30" s="3">
        <v>4</v>
      </c>
    </row>
    <row r="31" spans="1:61" ht="33.75">
      <c r="A31" s="2" t="s">
        <v>121</v>
      </c>
      <c r="B31" s="2" t="s">
        <v>93</v>
      </c>
      <c r="C31" s="2" t="s">
        <v>298</v>
      </c>
      <c r="D31" s="2" t="s">
        <v>299</v>
      </c>
      <c r="E31" s="2" t="s">
        <v>300</v>
      </c>
      <c r="F31" s="2" t="s">
        <v>97</v>
      </c>
      <c r="G31" s="2" t="s">
        <v>97</v>
      </c>
      <c r="H31" s="2" t="s">
        <v>98</v>
      </c>
      <c r="I31" s="2" t="s">
        <v>301</v>
      </c>
      <c r="J31" s="2" t="s">
        <v>0</v>
      </c>
      <c r="K31" s="2" t="s">
        <v>0</v>
      </c>
      <c r="L31" s="2" t="s">
        <v>0</v>
      </c>
      <c r="M31" s="3">
        <v>0</v>
      </c>
      <c r="N31" s="2" t="s">
        <v>0</v>
      </c>
      <c r="O31" s="2" t="s">
        <v>0</v>
      </c>
      <c r="P31" s="6">
        <v>42298</v>
      </c>
      <c r="Q31" s="2" t="s">
        <v>0</v>
      </c>
      <c r="R31" s="2" t="s">
        <v>101</v>
      </c>
      <c r="S31" s="2" t="s">
        <v>101</v>
      </c>
      <c r="T31" s="3">
        <v>0</v>
      </c>
      <c r="U31" s="2" t="s">
        <v>102</v>
      </c>
      <c r="V31" s="2" t="s">
        <v>101</v>
      </c>
      <c r="W31" s="2" t="s">
        <v>101</v>
      </c>
      <c r="X31" s="2" t="s">
        <v>101</v>
      </c>
      <c r="Y31" s="2" t="s">
        <v>0</v>
      </c>
      <c r="Z31" s="2" t="s">
        <v>0</v>
      </c>
      <c r="AA31" s="2" t="s">
        <v>0</v>
      </c>
      <c r="AB31" s="2" t="s">
        <v>0</v>
      </c>
      <c r="AC31" s="2" t="s">
        <v>147</v>
      </c>
      <c r="AD31" s="2" t="s">
        <v>147</v>
      </c>
      <c r="AE31" s="2" t="s">
        <v>147</v>
      </c>
      <c r="AF31" s="6">
        <v>44774</v>
      </c>
      <c r="AG31" s="2" t="s">
        <v>302</v>
      </c>
      <c r="AH31" s="2" t="s">
        <v>300</v>
      </c>
      <c r="AI31" s="2" t="s">
        <v>301</v>
      </c>
      <c r="AJ31" s="2" t="s">
        <v>303</v>
      </c>
      <c r="AK31" s="2">
        <v>1</v>
      </c>
      <c r="AL31" s="2" t="s">
        <v>102</v>
      </c>
      <c r="AM31" s="2" t="s">
        <v>304</v>
      </c>
      <c r="AN31" s="6">
        <v>39980</v>
      </c>
      <c r="AO31" s="2" t="s">
        <v>0</v>
      </c>
      <c r="AP31" s="2" t="s">
        <v>102</v>
      </c>
      <c r="AQ31" s="2" t="s">
        <v>102</v>
      </c>
      <c r="AR31" s="3">
        <v>18</v>
      </c>
      <c r="AS31" s="3">
        <v>3</v>
      </c>
      <c r="AT31" s="3">
        <v>5</v>
      </c>
      <c r="AU31" s="2" t="s">
        <v>0</v>
      </c>
      <c r="AV31" s="2" t="s">
        <v>0</v>
      </c>
      <c r="AW31" s="2" t="s">
        <v>0</v>
      </c>
      <c r="AX31" s="2" t="s">
        <v>0</v>
      </c>
      <c r="AY31" s="2" t="s">
        <v>0</v>
      </c>
      <c r="AZ31" s="2" t="s">
        <v>0</v>
      </c>
      <c r="BA31" s="2" t="s">
        <v>0</v>
      </c>
      <c r="BB31" s="2" t="s">
        <v>0</v>
      </c>
      <c r="BC31" s="2" t="s">
        <v>0</v>
      </c>
      <c r="BD31" s="2" t="s">
        <v>0</v>
      </c>
      <c r="BE31" s="2" t="s">
        <v>0</v>
      </c>
      <c r="BF31" s="2" t="s">
        <v>0</v>
      </c>
      <c r="BG31" s="3">
        <v>8</v>
      </c>
      <c r="BH31" s="3">
        <v>0</v>
      </c>
      <c r="BI31" s="3">
        <v>6</v>
      </c>
    </row>
    <row r="32" spans="1:61" ht="33.75">
      <c r="A32" s="2" t="s">
        <v>26</v>
      </c>
      <c r="B32" s="2" t="s">
        <v>885</v>
      </c>
      <c r="C32" s="2" t="s">
        <v>305</v>
      </c>
      <c r="D32" s="2" t="s">
        <v>306</v>
      </c>
      <c r="E32" s="2" t="s">
        <v>307</v>
      </c>
      <c r="F32" s="2" t="s">
        <v>97</v>
      </c>
      <c r="G32" s="2" t="s">
        <v>97</v>
      </c>
      <c r="H32" s="2" t="s">
        <v>98</v>
      </c>
      <c r="I32" s="2" t="s">
        <v>308</v>
      </c>
      <c r="J32" s="2" t="s">
        <v>0</v>
      </c>
      <c r="K32" s="2" t="s">
        <v>309</v>
      </c>
      <c r="L32" s="2" t="s">
        <v>0</v>
      </c>
      <c r="M32" s="3">
        <v>0</v>
      </c>
      <c r="N32" s="2" t="s">
        <v>0</v>
      </c>
      <c r="O32" s="2" t="s">
        <v>0</v>
      </c>
      <c r="P32" s="6">
        <v>42298</v>
      </c>
      <c r="Q32" s="2" t="s">
        <v>0</v>
      </c>
      <c r="R32" s="2" t="s">
        <v>101</v>
      </c>
      <c r="S32" s="2" t="s">
        <v>101</v>
      </c>
      <c r="T32" s="3">
        <v>0</v>
      </c>
      <c r="U32" s="2" t="s">
        <v>102</v>
      </c>
      <c r="V32" s="2" t="s">
        <v>101</v>
      </c>
      <c r="W32" s="2" t="s">
        <v>101</v>
      </c>
      <c r="X32" s="2" t="s">
        <v>101</v>
      </c>
      <c r="Y32" s="2" t="s">
        <v>0</v>
      </c>
      <c r="Z32" s="2" t="s">
        <v>0</v>
      </c>
      <c r="AA32" s="2" t="s">
        <v>103</v>
      </c>
      <c r="AB32" s="6">
        <v>44774</v>
      </c>
      <c r="AC32" s="2" t="s">
        <v>104</v>
      </c>
      <c r="AD32" s="2" t="s">
        <v>105</v>
      </c>
      <c r="AE32" s="2" t="s">
        <v>310</v>
      </c>
      <c r="AF32" s="6">
        <v>44774</v>
      </c>
      <c r="AG32" s="2" t="s">
        <v>0</v>
      </c>
      <c r="AH32" s="2" t="s">
        <v>0</v>
      </c>
      <c r="AI32" s="2" t="s">
        <v>0</v>
      </c>
      <c r="AJ32" s="2" t="s">
        <v>0</v>
      </c>
      <c r="AK32" s="2" t="s">
        <v>0</v>
      </c>
      <c r="AL32" s="2" t="s">
        <v>0</v>
      </c>
      <c r="AM32" s="2" t="s">
        <v>0</v>
      </c>
      <c r="AN32" s="2" t="s">
        <v>0</v>
      </c>
      <c r="AO32" s="2" t="s">
        <v>0</v>
      </c>
      <c r="AP32" s="2" t="s">
        <v>102</v>
      </c>
      <c r="AQ32" s="2" t="s">
        <v>102</v>
      </c>
      <c r="AR32" s="3">
        <v>4</v>
      </c>
      <c r="AS32" s="3">
        <v>4</v>
      </c>
      <c r="AT32" s="3">
        <v>6</v>
      </c>
      <c r="AU32" s="2" t="s">
        <v>0</v>
      </c>
      <c r="AV32" s="2" t="s">
        <v>0</v>
      </c>
      <c r="AW32" s="2" t="s">
        <v>0</v>
      </c>
      <c r="AX32" s="2" t="s">
        <v>0</v>
      </c>
      <c r="AY32" s="2" t="s">
        <v>0</v>
      </c>
      <c r="AZ32" s="2" t="s">
        <v>0</v>
      </c>
      <c r="BA32" s="2" t="s">
        <v>0</v>
      </c>
      <c r="BB32" s="2" t="s">
        <v>0</v>
      </c>
      <c r="BC32" s="2" t="s">
        <v>0</v>
      </c>
      <c r="BD32" s="2" t="s">
        <v>0</v>
      </c>
      <c r="BE32" s="2" t="s">
        <v>0</v>
      </c>
      <c r="BF32" s="2" t="s">
        <v>0</v>
      </c>
      <c r="BG32" s="3">
        <v>8</v>
      </c>
      <c r="BH32" s="3">
        <v>0</v>
      </c>
      <c r="BI32" s="3">
        <v>3</v>
      </c>
    </row>
    <row r="33" spans="1:61" ht="33.75">
      <c r="A33" s="2" t="s">
        <v>26</v>
      </c>
      <c r="B33" s="2" t="s">
        <v>93</v>
      </c>
      <c r="C33" s="2" t="s">
        <v>311</v>
      </c>
      <c r="D33" s="2" t="s">
        <v>312</v>
      </c>
      <c r="E33" s="2" t="s">
        <v>313</v>
      </c>
      <c r="F33" s="2" t="s">
        <v>97</v>
      </c>
      <c r="G33" s="2" t="s">
        <v>97</v>
      </c>
      <c r="H33" s="2" t="s">
        <v>98</v>
      </c>
      <c r="I33" s="2" t="s">
        <v>314</v>
      </c>
      <c r="J33" s="2" t="s">
        <v>0</v>
      </c>
      <c r="K33" s="2" t="s">
        <v>0</v>
      </c>
      <c r="L33" s="2" t="s">
        <v>0</v>
      </c>
      <c r="M33" s="3">
        <v>0</v>
      </c>
      <c r="N33" s="2" t="s">
        <v>0</v>
      </c>
      <c r="O33" s="2" t="s">
        <v>0</v>
      </c>
      <c r="P33" s="6">
        <v>42298</v>
      </c>
      <c r="Q33" s="2" t="s">
        <v>0</v>
      </c>
      <c r="R33" s="2" t="s">
        <v>101</v>
      </c>
      <c r="S33" s="2" t="s">
        <v>101</v>
      </c>
      <c r="T33" s="3">
        <v>0</v>
      </c>
      <c r="U33" s="2" t="s">
        <v>101</v>
      </c>
      <c r="V33" s="2" t="s">
        <v>102</v>
      </c>
      <c r="W33" s="2" t="s">
        <v>101</v>
      </c>
      <c r="X33" s="2" t="s">
        <v>101</v>
      </c>
      <c r="Y33" s="2" t="s">
        <v>0</v>
      </c>
      <c r="Z33" s="2" t="s">
        <v>0</v>
      </c>
      <c r="AA33" s="2" t="s">
        <v>0</v>
      </c>
      <c r="AB33" s="2" t="s">
        <v>0</v>
      </c>
      <c r="AC33" s="2" t="s">
        <v>0</v>
      </c>
      <c r="AD33" s="2" t="s">
        <v>0</v>
      </c>
      <c r="AE33" s="2" t="s">
        <v>0</v>
      </c>
      <c r="AF33" s="2" t="s">
        <v>0</v>
      </c>
      <c r="AG33" s="2" t="s">
        <v>0</v>
      </c>
      <c r="AH33" s="2" t="s">
        <v>0</v>
      </c>
      <c r="AI33" s="2" t="s">
        <v>0</v>
      </c>
      <c r="AJ33" s="2" t="s">
        <v>0</v>
      </c>
      <c r="AK33" s="2" t="s">
        <v>0</v>
      </c>
      <c r="AL33" s="2" t="s">
        <v>0</v>
      </c>
      <c r="AM33" s="2" t="s">
        <v>0</v>
      </c>
      <c r="AN33" s="2" t="s">
        <v>0</v>
      </c>
      <c r="AO33" s="2" t="s">
        <v>0</v>
      </c>
      <c r="AP33" s="2" t="s">
        <v>102</v>
      </c>
      <c r="AQ33" s="2" t="s">
        <v>102</v>
      </c>
      <c r="AR33" s="3">
        <v>16</v>
      </c>
      <c r="AS33" s="3">
        <v>3</v>
      </c>
      <c r="AT33" s="3">
        <v>7</v>
      </c>
      <c r="AU33" s="2" t="s">
        <v>0</v>
      </c>
      <c r="AV33" s="2" t="s">
        <v>0</v>
      </c>
      <c r="AW33" s="2" t="s">
        <v>0</v>
      </c>
      <c r="AX33" s="2" t="s">
        <v>0</v>
      </c>
      <c r="AY33" s="2" t="s">
        <v>0</v>
      </c>
      <c r="AZ33" s="2" t="s">
        <v>0</v>
      </c>
      <c r="BA33" s="2" t="s">
        <v>0</v>
      </c>
      <c r="BB33" s="2" t="s">
        <v>0</v>
      </c>
      <c r="BC33" s="2" t="s">
        <v>0</v>
      </c>
      <c r="BD33" s="2" t="s">
        <v>0</v>
      </c>
      <c r="BE33" s="2" t="s">
        <v>0</v>
      </c>
      <c r="BF33" s="2" t="s">
        <v>0</v>
      </c>
      <c r="BG33" s="3">
        <v>8</v>
      </c>
      <c r="BH33" s="3">
        <v>0</v>
      </c>
      <c r="BI33" s="3">
        <v>4</v>
      </c>
    </row>
    <row r="34" spans="1:61" ht="33.75">
      <c r="A34" s="2" t="s">
        <v>121</v>
      </c>
      <c r="B34" s="2" t="s">
        <v>93</v>
      </c>
      <c r="C34" s="2" t="s">
        <v>315</v>
      </c>
      <c r="D34" s="2" t="s">
        <v>316</v>
      </c>
      <c r="E34" s="2" t="s">
        <v>317</v>
      </c>
      <c r="F34" s="2" t="s">
        <v>97</v>
      </c>
      <c r="G34" s="2" t="s">
        <v>97</v>
      </c>
      <c r="H34" s="2" t="s">
        <v>98</v>
      </c>
      <c r="I34" s="2" t="s">
        <v>318</v>
      </c>
      <c r="J34" s="2" t="s">
        <v>0</v>
      </c>
      <c r="K34" s="2" t="s">
        <v>319</v>
      </c>
      <c r="L34" s="2" t="s">
        <v>0</v>
      </c>
      <c r="M34" s="3">
        <v>0</v>
      </c>
      <c r="N34" s="2" t="s">
        <v>0</v>
      </c>
      <c r="O34" s="2" t="s">
        <v>0</v>
      </c>
      <c r="P34" s="6">
        <v>42298</v>
      </c>
      <c r="Q34" s="2" t="s">
        <v>0</v>
      </c>
      <c r="R34" s="2" t="s">
        <v>101</v>
      </c>
      <c r="S34" s="2" t="s">
        <v>101</v>
      </c>
      <c r="T34" s="3">
        <v>0</v>
      </c>
      <c r="U34" s="2" t="s">
        <v>101</v>
      </c>
      <c r="V34" s="2" t="s">
        <v>102</v>
      </c>
      <c r="W34" s="2" t="s">
        <v>101</v>
      </c>
      <c r="X34" s="2" t="s">
        <v>101</v>
      </c>
      <c r="Y34" s="2" t="s">
        <v>0</v>
      </c>
      <c r="Z34" s="2" t="s">
        <v>0</v>
      </c>
      <c r="AA34" s="2" t="s">
        <v>0</v>
      </c>
      <c r="AB34" s="2" t="s">
        <v>0</v>
      </c>
      <c r="AC34" s="2" t="s">
        <v>104</v>
      </c>
      <c r="AD34" s="2" t="s">
        <v>104</v>
      </c>
      <c r="AE34" s="2" t="s">
        <v>104</v>
      </c>
      <c r="AF34" s="6">
        <v>44774</v>
      </c>
      <c r="AG34" s="2" t="s">
        <v>320</v>
      </c>
      <c r="AH34" s="2" t="s">
        <v>317</v>
      </c>
      <c r="AI34" s="2" t="s">
        <v>318</v>
      </c>
      <c r="AJ34" s="2" t="s">
        <v>321</v>
      </c>
      <c r="AK34" s="2">
        <v>1</v>
      </c>
      <c r="AL34" s="2" t="s">
        <v>102</v>
      </c>
      <c r="AM34" s="2" t="s">
        <v>322</v>
      </c>
      <c r="AN34" s="6">
        <v>43198</v>
      </c>
      <c r="AO34" s="2" t="s">
        <v>0</v>
      </c>
      <c r="AP34" s="2" t="s">
        <v>101</v>
      </c>
      <c r="AQ34" s="2" t="s">
        <v>102</v>
      </c>
      <c r="AR34" s="3">
        <v>16</v>
      </c>
      <c r="AS34" s="3">
        <v>3</v>
      </c>
      <c r="AT34" s="3">
        <v>7</v>
      </c>
      <c r="AU34" s="2" t="s">
        <v>0</v>
      </c>
      <c r="AV34" s="2" t="s">
        <v>0</v>
      </c>
      <c r="AW34" s="2" t="s">
        <v>0</v>
      </c>
      <c r="AX34" s="2" t="s">
        <v>0</v>
      </c>
      <c r="AY34" s="2" t="s">
        <v>0</v>
      </c>
      <c r="AZ34" s="2" t="s">
        <v>0</v>
      </c>
      <c r="BA34" s="2" t="s">
        <v>0</v>
      </c>
      <c r="BB34" s="2" t="s">
        <v>0</v>
      </c>
      <c r="BC34" s="2" t="s">
        <v>0</v>
      </c>
      <c r="BD34" s="2" t="s">
        <v>0</v>
      </c>
      <c r="BE34" s="2" t="s">
        <v>0</v>
      </c>
      <c r="BF34" s="2" t="s">
        <v>0</v>
      </c>
      <c r="BG34" s="3">
        <v>1</v>
      </c>
      <c r="BH34" s="3">
        <v>0</v>
      </c>
      <c r="BI34" s="3">
        <v>1</v>
      </c>
    </row>
    <row r="35" spans="1:61" ht="33.75">
      <c r="A35" s="2" t="s">
        <v>121</v>
      </c>
      <c r="B35" s="2" t="s">
        <v>93</v>
      </c>
      <c r="C35" s="2" t="s">
        <v>323</v>
      </c>
      <c r="D35" s="2" t="s">
        <v>324</v>
      </c>
      <c r="E35" s="2" t="s">
        <v>325</v>
      </c>
      <c r="F35" s="2" t="s">
        <v>97</v>
      </c>
      <c r="G35" s="2" t="s">
        <v>97</v>
      </c>
      <c r="H35" s="2" t="s">
        <v>98</v>
      </c>
      <c r="I35" s="2" t="s">
        <v>326</v>
      </c>
      <c r="J35" s="2" t="s">
        <v>0</v>
      </c>
      <c r="K35" s="2" t="s">
        <v>327</v>
      </c>
      <c r="L35" s="2" t="s">
        <v>0</v>
      </c>
      <c r="M35" s="3">
        <v>0</v>
      </c>
      <c r="N35" s="2" t="s">
        <v>0</v>
      </c>
      <c r="O35" s="2" t="s">
        <v>0</v>
      </c>
      <c r="P35" s="6">
        <v>42298</v>
      </c>
      <c r="Q35" s="2" t="s">
        <v>0</v>
      </c>
      <c r="R35" s="2" t="s">
        <v>101</v>
      </c>
      <c r="S35" s="2" t="s">
        <v>101</v>
      </c>
      <c r="T35" s="3">
        <v>0</v>
      </c>
      <c r="U35" s="2" t="s">
        <v>102</v>
      </c>
      <c r="V35" s="2" t="s">
        <v>101</v>
      </c>
      <c r="W35" s="2" t="s">
        <v>101</v>
      </c>
      <c r="X35" s="2" t="s">
        <v>101</v>
      </c>
      <c r="Y35" s="2" t="s">
        <v>0</v>
      </c>
      <c r="Z35" s="2" t="s">
        <v>0</v>
      </c>
      <c r="AA35" s="2" t="s">
        <v>0</v>
      </c>
      <c r="AB35" s="2" t="s">
        <v>0</v>
      </c>
      <c r="AC35" s="2" t="s">
        <v>104</v>
      </c>
      <c r="AD35" s="2" t="s">
        <v>104</v>
      </c>
      <c r="AE35" s="2" t="s">
        <v>104</v>
      </c>
      <c r="AF35" s="6">
        <v>44774</v>
      </c>
      <c r="AG35" s="2" t="s">
        <v>328</v>
      </c>
      <c r="AH35" s="2" t="s">
        <v>325</v>
      </c>
      <c r="AI35" s="2" t="s">
        <v>326</v>
      </c>
      <c r="AJ35" s="2" t="s">
        <v>329</v>
      </c>
      <c r="AK35" s="2">
        <v>1</v>
      </c>
      <c r="AL35" s="2" t="s">
        <v>102</v>
      </c>
      <c r="AM35" s="2" t="s">
        <v>327</v>
      </c>
      <c r="AN35" s="6">
        <v>38742</v>
      </c>
      <c r="AO35" s="2" t="s">
        <v>0</v>
      </c>
      <c r="AP35" s="2" t="s">
        <v>102</v>
      </c>
      <c r="AQ35" s="2" t="s">
        <v>102</v>
      </c>
      <c r="AR35" s="3">
        <v>18</v>
      </c>
      <c r="AS35" s="3">
        <v>3</v>
      </c>
      <c r="AT35" s="3">
        <v>6</v>
      </c>
      <c r="AU35" s="3">
        <v>25</v>
      </c>
      <c r="AV35" s="3">
        <v>22</v>
      </c>
      <c r="AW35" s="3">
        <v>11</v>
      </c>
      <c r="AX35" s="3">
        <v>20</v>
      </c>
      <c r="AY35" s="3">
        <v>22</v>
      </c>
      <c r="AZ35" s="3">
        <v>100</v>
      </c>
      <c r="BA35" s="3">
        <v>735</v>
      </c>
      <c r="BB35" s="3">
        <v>635</v>
      </c>
      <c r="BC35" s="3">
        <v>198</v>
      </c>
      <c r="BD35" s="3">
        <v>84</v>
      </c>
      <c r="BE35" s="3">
        <v>161</v>
      </c>
      <c r="BF35" s="3">
        <v>7</v>
      </c>
      <c r="BG35" s="3">
        <v>6</v>
      </c>
      <c r="BH35" s="3">
        <v>0</v>
      </c>
      <c r="BI35" s="3">
        <v>24</v>
      </c>
    </row>
    <row r="36" spans="1:61" ht="33.75">
      <c r="A36" s="2" t="s">
        <v>330</v>
      </c>
      <c r="B36" s="2" t="s">
        <v>93</v>
      </c>
      <c r="C36" s="2" t="s">
        <v>331</v>
      </c>
      <c r="D36" s="2" t="s">
        <v>332</v>
      </c>
      <c r="E36" s="2" t="s">
        <v>333</v>
      </c>
      <c r="F36" s="2" t="s">
        <v>97</v>
      </c>
      <c r="G36" s="2" t="s">
        <v>97</v>
      </c>
      <c r="H36" s="2" t="s">
        <v>98</v>
      </c>
      <c r="I36" s="2" t="s">
        <v>334</v>
      </c>
      <c r="J36" s="2" t="s">
        <v>0</v>
      </c>
      <c r="K36" s="2" t="s">
        <v>335</v>
      </c>
      <c r="L36" s="2" t="s">
        <v>0</v>
      </c>
      <c r="M36" s="3">
        <v>0</v>
      </c>
      <c r="N36" s="2" t="s">
        <v>0</v>
      </c>
      <c r="O36" s="2" t="s">
        <v>0</v>
      </c>
      <c r="P36" s="6">
        <v>42298</v>
      </c>
      <c r="Q36" s="2" t="s">
        <v>0</v>
      </c>
      <c r="R36" s="2" t="s">
        <v>101</v>
      </c>
      <c r="S36" s="2" t="s">
        <v>101</v>
      </c>
      <c r="T36" s="3">
        <v>0</v>
      </c>
      <c r="U36" s="2" t="s">
        <v>101</v>
      </c>
      <c r="V36" s="2" t="s">
        <v>102</v>
      </c>
      <c r="W36" s="2" t="s">
        <v>101</v>
      </c>
      <c r="X36" s="2" t="s">
        <v>101</v>
      </c>
      <c r="Y36" s="2" t="s">
        <v>0</v>
      </c>
      <c r="Z36" s="2" t="s">
        <v>0</v>
      </c>
      <c r="AA36" s="2" t="s">
        <v>0</v>
      </c>
      <c r="AB36" s="2" t="s">
        <v>0</v>
      </c>
      <c r="AC36" s="2" t="s">
        <v>147</v>
      </c>
      <c r="AD36" s="2" t="s">
        <v>147</v>
      </c>
      <c r="AE36" s="2" t="s">
        <v>147</v>
      </c>
      <c r="AF36" s="6">
        <v>44774</v>
      </c>
      <c r="AG36" s="2" t="s">
        <v>0</v>
      </c>
      <c r="AH36" s="2" t="s">
        <v>333</v>
      </c>
      <c r="AI36" s="2" t="s">
        <v>334</v>
      </c>
      <c r="AJ36" s="2" t="s">
        <v>336</v>
      </c>
      <c r="AK36" s="2">
        <v>0</v>
      </c>
      <c r="AL36" s="2" t="s">
        <v>102</v>
      </c>
      <c r="AM36" s="2" t="s">
        <v>337</v>
      </c>
      <c r="AN36" s="2" t="s">
        <v>0</v>
      </c>
      <c r="AO36" s="2" t="s">
        <v>0</v>
      </c>
      <c r="AP36" s="2" t="s">
        <v>101</v>
      </c>
      <c r="AQ36" s="2" t="s">
        <v>102</v>
      </c>
      <c r="AR36" s="3">
        <v>2</v>
      </c>
      <c r="AS36" s="3">
        <v>4</v>
      </c>
      <c r="AT36" s="3">
        <v>9</v>
      </c>
      <c r="AU36" s="3">
        <v>13</v>
      </c>
      <c r="AV36" s="3">
        <v>12</v>
      </c>
      <c r="AW36" s="3">
        <v>5</v>
      </c>
      <c r="AX36" s="3">
        <v>9</v>
      </c>
      <c r="AY36" s="3">
        <v>12</v>
      </c>
      <c r="AZ36" s="3">
        <v>70</v>
      </c>
      <c r="BA36" s="3">
        <v>448</v>
      </c>
      <c r="BB36" s="3">
        <v>378</v>
      </c>
      <c r="BC36" s="3">
        <v>112</v>
      </c>
      <c r="BD36" s="3">
        <v>58</v>
      </c>
      <c r="BE36" s="3">
        <v>86</v>
      </c>
      <c r="BF36" s="3">
        <v>6</v>
      </c>
      <c r="BG36" s="2" t="s">
        <v>0</v>
      </c>
      <c r="BH36" s="3">
        <v>0</v>
      </c>
      <c r="BI36" s="3">
        <v>1</v>
      </c>
    </row>
    <row r="37" spans="1:61" ht="33.75">
      <c r="A37" s="2" t="s">
        <v>330</v>
      </c>
      <c r="B37" s="2" t="s">
        <v>93</v>
      </c>
      <c r="C37" s="2" t="s">
        <v>338</v>
      </c>
      <c r="D37" s="2" t="s">
        <v>339</v>
      </c>
      <c r="E37" s="2" t="s">
        <v>340</v>
      </c>
      <c r="F37" s="2" t="s">
        <v>97</v>
      </c>
      <c r="G37" s="2" t="s">
        <v>97</v>
      </c>
      <c r="H37" s="2" t="s">
        <v>98</v>
      </c>
      <c r="I37" s="2" t="s">
        <v>341</v>
      </c>
      <c r="J37" s="2" t="s">
        <v>0</v>
      </c>
      <c r="K37" s="2" t="s">
        <v>342</v>
      </c>
      <c r="L37" s="2" t="s">
        <v>0</v>
      </c>
      <c r="M37" s="3">
        <v>0</v>
      </c>
      <c r="N37" s="2" t="s">
        <v>0</v>
      </c>
      <c r="O37" s="2" t="s">
        <v>0</v>
      </c>
      <c r="P37" s="6">
        <v>42298</v>
      </c>
      <c r="Q37" s="2" t="s">
        <v>0</v>
      </c>
      <c r="R37" s="2" t="s">
        <v>101</v>
      </c>
      <c r="S37" s="2" t="s">
        <v>101</v>
      </c>
      <c r="T37" s="3">
        <v>0</v>
      </c>
      <c r="U37" s="2" t="s">
        <v>101</v>
      </c>
      <c r="V37" s="2" t="s">
        <v>102</v>
      </c>
      <c r="W37" s="2" t="s">
        <v>101</v>
      </c>
      <c r="X37" s="2" t="s">
        <v>101</v>
      </c>
      <c r="Y37" s="2" t="s">
        <v>0</v>
      </c>
      <c r="Z37" s="2" t="s">
        <v>0</v>
      </c>
      <c r="AA37" s="2" t="s">
        <v>0</v>
      </c>
      <c r="AB37" s="2" t="s">
        <v>0</v>
      </c>
      <c r="AC37" s="2" t="s">
        <v>104</v>
      </c>
      <c r="AD37" s="2" t="s">
        <v>104</v>
      </c>
      <c r="AE37" s="2" t="s">
        <v>104</v>
      </c>
      <c r="AF37" s="6">
        <v>44774</v>
      </c>
      <c r="AG37" s="2" t="s">
        <v>0</v>
      </c>
      <c r="AH37" s="2" t="s">
        <v>340</v>
      </c>
      <c r="AI37" s="2" t="s">
        <v>341</v>
      </c>
      <c r="AJ37" s="2" t="s">
        <v>343</v>
      </c>
      <c r="AK37" s="2">
        <v>0</v>
      </c>
      <c r="AL37" s="2" t="s">
        <v>102</v>
      </c>
      <c r="AM37" s="2" t="s">
        <v>342</v>
      </c>
      <c r="AN37" s="2" t="s">
        <v>0</v>
      </c>
      <c r="AO37" s="2" t="s">
        <v>0</v>
      </c>
      <c r="AP37" s="2" t="s">
        <v>101</v>
      </c>
      <c r="AQ37" s="2" t="s">
        <v>102</v>
      </c>
      <c r="AR37" s="3">
        <v>2</v>
      </c>
      <c r="AS37" s="3">
        <v>4</v>
      </c>
      <c r="AT37" s="3">
        <v>9</v>
      </c>
      <c r="AU37" s="3">
        <v>13</v>
      </c>
      <c r="AV37" s="3">
        <v>12</v>
      </c>
      <c r="AW37" s="3">
        <v>5</v>
      </c>
      <c r="AX37" s="3">
        <v>9</v>
      </c>
      <c r="AY37" s="3">
        <v>12</v>
      </c>
      <c r="AZ37" s="3">
        <v>70</v>
      </c>
      <c r="BA37" s="3">
        <v>448</v>
      </c>
      <c r="BB37" s="3">
        <v>378</v>
      </c>
      <c r="BC37" s="3">
        <v>112</v>
      </c>
      <c r="BD37" s="3">
        <v>58</v>
      </c>
      <c r="BE37" s="3">
        <v>86</v>
      </c>
      <c r="BF37" s="3">
        <v>6</v>
      </c>
      <c r="BG37" s="2" t="s">
        <v>0</v>
      </c>
      <c r="BH37" s="3">
        <v>0</v>
      </c>
      <c r="BI37" s="3">
        <v>1</v>
      </c>
    </row>
    <row r="38" spans="1:61" ht="33.75">
      <c r="A38" s="2" t="s">
        <v>330</v>
      </c>
      <c r="B38" s="2" t="s">
        <v>93</v>
      </c>
      <c r="C38" s="2" t="s">
        <v>344</v>
      </c>
      <c r="D38" s="2" t="s">
        <v>345</v>
      </c>
      <c r="E38" s="2" t="s">
        <v>346</v>
      </c>
      <c r="F38" s="2" t="s">
        <v>97</v>
      </c>
      <c r="G38" s="2" t="s">
        <v>97</v>
      </c>
      <c r="H38" s="2" t="s">
        <v>98</v>
      </c>
      <c r="I38" s="2" t="s">
        <v>347</v>
      </c>
      <c r="J38" s="2" t="s">
        <v>0</v>
      </c>
      <c r="K38" s="2" t="s">
        <v>0</v>
      </c>
      <c r="L38" s="2" t="s">
        <v>0</v>
      </c>
      <c r="M38" s="3">
        <v>0</v>
      </c>
      <c r="N38" s="2" t="s">
        <v>0</v>
      </c>
      <c r="O38" s="2" t="s">
        <v>0</v>
      </c>
      <c r="P38" s="6">
        <v>42298</v>
      </c>
      <c r="Q38" s="2" t="s">
        <v>0</v>
      </c>
      <c r="R38" s="2" t="s">
        <v>101</v>
      </c>
      <c r="S38" s="2" t="s">
        <v>101</v>
      </c>
      <c r="T38" s="3">
        <v>0</v>
      </c>
      <c r="U38" s="2" t="s">
        <v>101</v>
      </c>
      <c r="V38" s="2" t="s">
        <v>102</v>
      </c>
      <c r="W38" s="2" t="s">
        <v>101</v>
      </c>
      <c r="X38" s="2" t="s">
        <v>101</v>
      </c>
      <c r="Y38" s="2" t="s">
        <v>0</v>
      </c>
      <c r="Z38" s="2" t="s">
        <v>0</v>
      </c>
      <c r="AA38" s="2" t="s">
        <v>0</v>
      </c>
      <c r="AB38" s="2" t="s">
        <v>0</v>
      </c>
      <c r="AC38" s="2" t="s">
        <v>0</v>
      </c>
      <c r="AD38" s="2" t="s">
        <v>0</v>
      </c>
      <c r="AE38" s="2" t="s">
        <v>0</v>
      </c>
      <c r="AF38" s="2" t="s">
        <v>0</v>
      </c>
      <c r="AG38" s="2" t="s">
        <v>0</v>
      </c>
      <c r="AH38" s="2" t="s">
        <v>0</v>
      </c>
      <c r="AI38" s="2" t="s">
        <v>0</v>
      </c>
      <c r="AJ38" s="2" t="s">
        <v>0</v>
      </c>
      <c r="AK38" s="2" t="s">
        <v>0</v>
      </c>
      <c r="AL38" s="2" t="s">
        <v>0</v>
      </c>
      <c r="AM38" s="2" t="s">
        <v>0</v>
      </c>
      <c r="AN38" s="2" t="s">
        <v>0</v>
      </c>
      <c r="AO38" s="2" t="s">
        <v>0</v>
      </c>
      <c r="AP38" s="2" t="s">
        <v>101</v>
      </c>
      <c r="AQ38" s="2" t="s">
        <v>102</v>
      </c>
      <c r="AR38" s="3">
        <v>10</v>
      </c>
      <c r="AS38" s="3">
        <v>3</v>
      </c>
      <c r="AT38" s="3">
        <v>8</v>
      </c>
      <c r="AU38" s="3">
        <v>13</v>
      </c>
      <c r="AV38" s="3">
        <v>12</v>
      </c>
      <c r="AW38" s="3">
        <v>5</v>
      </c>
      <c r="AX38" s="3">
        <v>9</v>
      </c>
      <c r="AY38" s="3">
        <v>12</v>
      </c>
      <c r="AZ38" s="3">
        <v>70</v>
      </c>
      <c r="BA38" s="3">
        <v>448</v>
      </c>
      <c r="BB38" s="3">
        <v>378</v>
      </c>
      <c r="BC38" s="3">
        <v>112</v>
      </c>
      <c r="BD38" s="3">
        <v>58</v>
      </c>
      <c r="BE38" s="3">
        <v>86</v>
      </c>
      <c r="BF38" s="3">
        <v>6</v>
      </c>
      <c r="BG38" s="2" t="s">
        <v>0</v>
      </c>
      <c r="BH38" s="3">
        <v>0</v>
      </c>
      <c r="BI38" s="3">
        <v>1</v>
      </c>
    </row>
    <row r="39" spans="1:61">
      <c r="A39" s="4" t="s">
        <v>348</v>
      </c>
      <c r="B39" s="5" t="s">
        <v>0</v>
      </c>
      <c r="C39" s="5" t="s">
        <v>0</v>
      </c>
      <c r="D39" s="5" t="s">
        <v>0</v>
      </c>
      <c r="E39" s="5" t="s">
        <v>0</v>
      </c>
      <c r="F39" s="5" t="s">
        <v>0</v>
      </c>
      <c r="G39" s="5" t="s">
        <v>0</v>
      </c>
      <c r="H39" s="5" t="s">
        <v>0</v>
      </c>
      <c r="I39" s="5" t="s">
        <v>0</v>
      </c>
      <c r="J39" s="5" t="s">
        <v>0</v>
      </c>
      <c r="K39" s="5" t="s">
        <v>0</v>
      </c>
      <c r="L39" s="5" t="s">
        <v>0</v>
      </c>
      <c r="M39" s="5" t="s">
        <v>0</v>
      </c>
      <c r="N39" s="5" t="s">
        <v>0</v>
      </c>
      <c r="O39" s="5" t="s">
        <v>0</v>
      </c>
      <c r="P39" s="5" t="s">
        <v>0</v>
      </c>
      <c r="Q39" s="5" t="s">
        <v>0</v>
      </c>
      <c r="R39" s="5" t="s">
        <v>0</v>
      </c>
      <c r="S39" s="5" t="s">
        <v>0</v>
      </c>
      <c r="T39" s="5" t="s">
        <v>0</v>
      </c>
      <c r="U39" s="5" t="s">
        <v>0</v>
      </c>
      <c r="V39" s="5" t="s">
        <v>0</v>
      </c>
      <c r="W39" s="5" t="s">
        <v>0</v>
      </c>
      <c r="X39" s="5" t="s">
        <v>0</v>
      </c>
      <c r="Y39" s="5" t="s">
        <v>0</v>
      </c>
      <c r="Z39" s="5" t="s">
        <v>0</v>
      </c>
      <c r="AA39" s="5" t="s">
        <v>0</v>
      </c>
      <c r="AB39" s="5" t="s">
        <v>0</v>
      </c>
      <c r="AC39" s="5" t="s">
        <v>0</v>
      </c>
      <c r="AD39" s="5" t="s">
        <v>0</v>
      </c>
      <c r="AE39" s="5" t="s">
        <v>0</v>
      </c>
      <c r="AF39" s="5" t="s">
        <v>0</v>
      </c>
      <c r="AG39" s="5" t="s">
        <v>0</v>
      </c>
      <c r="AH39" s="5" t="s">
        <v>0</v>
      </c>
      <c r="AI39" s="5" t="s">
        <v>0</v>
      </c>
      <c r="AJ39" s="5" t="s">
        <v>0</v>
      </c>
      <c r="AK39" s="5" t="s">
        <v>0</v>
      </c>
      <c r="AL39" s="5" t="s">
        <v>0</v>
      </c>
      <c r="AM39" s="5" t="s">
        <v>0</v>
      </c>
      <c r="AN39" s="5" t="s">
        <v>0</v>
      </c>
      <c r="AO39" s="5" t="s">
        <v>0</v>
      </c>
      <c r="AP39" s="5" t="s">
        <v>0</v>
      </c>
      <c r="AQ39" s="5" t="s">
        <v>0</v>
      </c>
      <c r="AR39" s="5" t="s">
        <v>0</v>
      </c>
      <c r="AS39" s="5" t="s">
        <v>0</v>
      </c>
      <c r="AT39" s="5" t="s">
        <v>0</v>
      </c>
      <c r="AU39" s="5" t="s">
        <v>0</v>
      </c>
      <c r="AV39" s="5" t="s">
        <v>0</v>
      </c>
      <c r="AW39" s="5" t="s">
        <v>0</v>
      </c>
      <c r="AX39" s="5" t="s">
        <v>0</v>
      </c>
      <c r="AY39" s="5" t="s">
        <v>0</v>
      </c>
      <c r="AZ39" s="5" t="s">
        <v>0</v>
      </c>
      <c r="BA39" s="5" t="s">
        <v>0</v>
      </c>
      <c r="BB39" s="5" t="s">
        <v>0</v>
      </c>
      <c r="BC39" s="5" t="s">
        <v>0</v>
      </c>
      <c r="BD39" s="5" t="s">
        <v>0</v>
      </c>
      <c r="BE39" s="5" t="s">
        <v>0</v>
      </c>
      <c r="BF39" s="5" t="s">
        <v>0</v>
      </c>
      <c r="BG39" s="5" t="s">
        <v>0</v>
      </c>
      <c r="BH39" s="5" t="s">
        <v>0</v>
      </c>
      <c r="BI39" s="5" t="s">
        <v>0</v>
      </c>
    </row>
  </sheetData>
  <autoFilter ref="A1:BI39" xr:uid="{00000000-0009-0000-0000-000001000000}"/>
  <pageMargins left="0.25" right="0.25" top="0.25" bottom="0.25" header="0.3" footer="0.3"/>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S12"/>
  <sheetViews>
    <sheetView workbookViewId="0">
      <pane xSplit="4" ySplit="1" topLeftCell="E2" activePane="bottomRight" state="frozen"/>
      <selection pane="topRight"/>
      <selection pane="bottomLeft"/>
      <selection pane="bottomRight"/>
    </sheetView>
  </sheetViews>
  <sheetFormatPr baseColWidth="10" defaultColWidth="9.140625" defaultRowHeight="15"/>
  <cols>
    <col min="1" max="1" width="14.140625" customWidth="1"/>
    <col min="2" max="4" width="21.28515625" customWidth="1"/>
    <col min="5" max="9" width="54.28515625" customWidth="1"/>
    <col min="10" max="10" width="14.140625" customWidth="1"/>
    <col min="11" max="11" width="54.28515625" customWidth="1"/>
    <col min="12" max="12" width="14.140625" customWidth="1"/>
    <col min="13" max="13" width="54.28515625" customWidth="1"/>
    <col min="14" max="28" width="14.140625" customWidth="1"/>
    <col min="29" max="45" width="54.28515625" customWidth="1"/>
  </cols>
  <sheetData>
    <row r="1" spans="1:45" ht="33.75">
      <c r="A1" s="1" t="s">
        <v>1</v>
      </c>
      <c r="B1" s="1" t="s">
        <v>349</v>
      </c>
      <c r="C1" s="1" t="s">
        <v>350</v>
      </c>
      <c r="D1" s="1" t="s">
        <v>351</v>
      </c>
      <c r="E1" s="1" t="s">
        <v>352</v>
      </c>
      <c r="F1" s="1" t="s">
        <v>353</v>
      </c>
      <c r="G1" s="1" t="s">
        <v>354</v>
      </c>
      <c r="H1" s="1" t="s">
        <v>355</v>
      </c>
      <c r="I1" s="1" t="s">
        <v>356</v>
      </c>
      <c r="J1" s="1" t="s">
        <v>357</v>
      </c>
      <c r="K1" s="1" t="s">
        <v>358</v>
      </c>
      <c r="L1" s="1" t="s">
        <v>359</v>
      </c>
      <c r="M1" s="1" t="s">
        <v>360</v>
      </c>
      <c r="N1" s="1" t="s">
        <v>361</v>
      </c>
      <c r="O1" s="1" t="s">
        <v>362</v>
      </c>
      <c r="P1" s="1" t="s">
        <v>363</v>
      </c>
      <c r="Q1" s="1" t="s">
        <v>364</v>
      </c>
      <c r="R1" s="1" t="s">
        <v>365</v>
      </c>
      <c r="S1" s="1" t="s">
        <v>366</v>
      </c>
      <c r="T1" s="1" t="s">
        <v>367</v>
      </c>
      <c r="U1" s="1" t="s">
        <v>368</v>
      </c>
      <c r="V1" s="1" t="s">
        <v>369</v>
      </c>
      <c r="W1" s="1" t="s">
        <v>370</v>
      </c>
      <c r="X1" s="1" t="s">
        <v>371</v>
      </c>
      <c r="Y1" s="1" t="s">
        <v>372</v>
      </c>
      <c r="Z1" s="1" t="s">
        <v>373</v>
      </c>
      <c r="AA1" s="1" t="s">
        <v>374</v>
      </c>
      <c r="AB1" s="1" t="s">
        <v>89</v>
      </c>
      <c r="AC1" s="7" t="s">
        <v>0</v>
      </c>
      <c r="AD1" s="7" t="s">
        <v>0</v>
      </c>
      <c r="AE1" s="7" t="s">
        <v>0</v>
      </c>
      <c r="AF1" s="7" t="s">
        <v>0</v>
      </c>
      <c r="AG1" s="7" t="s">
        <v>0</v>
      </c>
      <c r="AH1" s="7" t="s">
        <v>0</v>
      </c>
      <c r="AI1" s="7" t="s">
        <v>0</v>
      </c>
      <c r="AJ1" s="7" t="s">
        <v>0</v>
      </c>
      <c r="AK1" s="7" t="s">
        <v>0</v>
      </c>
      <c r="AL1" s="7" t="s">
        <v>0</v>
      </c>
      <c r="AM1" s="7" t="s">
        <v>0</v>
      </c>
      <c r="AN1" s="7" t="s">
        <v>0</v>
      </c>
      <c r="AO1" s="7" t="s">
        <v>0</v>
      </c>
      <c r="AP1" s="7" t="s">
        <v>0</v>
      </c>
      <c r="AQ1" s="7" t="s">
        <v>0</v>
      </c>
      <c r="AR1" s="7" t="s">
        <v>0</v>
      </c>
      <c r="AS1" s="7" t="s">
        <v>0</v>
      </c>
    </row>
    <row r="2" spans="1:45" ht="22.5">
      <c r="A2" s="2" t="s">
        <v>26</v>
      </c>
      <c r="B2" s="2" t="s">
        <v>375</v>
      </c>
      <c r="C2" s="2" t="s">
        <v>0</v>
      </c>
      <c r="D2" s="2" t="s">
        <v>376</v>
      </c>
      <c r="E2" s="2" t="s">
        <v>377</v>
      </c>
      <c r="F2" s="2" t="s">
        <v>378</v>
      </c>
      <c r="G2" s="2" t="s">
        <v>0</v>
      </c>
      <c r="H2" s="6">
        <v>42298</v>
      </c>
      <c r="I2" s="6">
        <v>42298</v>
      </c>
      <c r="J2" s="2" t="s">
        <v>101</v>
      </c>
      <c r="K2" s="2" t="s">
        <v>0</v>
      </c>
      <c r="L2" s="2" t="s">
        <v>0</v>
      </c>
      <c r="M2" s="2" t="s">
        <v>0</v>
      </c>
      <c r="N2" s="3">
        <v>0</v>
      </c>
      <c r="O2" s="3">
        <v>0</v>
      </c>
      <c r="P2" s="3">
        <v>0</v>
      </c>
      <c r="Q2" s="3">
        <v>0</v>
      </c>
      <c r="R2" s="3">
        <v>0</v>
      </c>
      <c r="S2" s="3">
        <v>0</v>
      </c>
      <c r="T2" s="3">
        <v>0</v>
      </c>
      <c r="U2" s="3">
        <v>12</v>
      </c>
      <c r="V2" s="3">
        <v>12</v>
      </c>
      <c r="W2" s="3">
        <v>2</v>
      </c>
      <c r="X2" s="3">
        <v>379</v>
      </c>
      <c r="Y2" s="3">
        <v>50</v>
      </c>
      <c r="Z2" s="3">
        <v>4</v>
      </c>
      <c r="AA2" s="3">
        <v>111</v>
      </c>
      <c r="AB2" s="3">
        <v>18</v>
      </c>
      <c r="AC2" s="8" t="s">
        <v>0</v>
      </c>
      <c r="AD2" s="8" t="s">
        <v>0</v>
      </c>
      <c r="AE2" s="8" t="s">
        <v>0</v>
      </c>
      <c r="AF2" s="8" t="s">
        <v>0</v>
      </c>
      <c r="AG2" s="8" t="s">
        <v>0</v>
      </c>
      <c r="AH2" s="8" t="s">
        <v>0</v>
      </c>
      <c r="AI2" s="8" t="s">
        <v>0</v>
      </c>
      <c r="AJ2" s="8" t="s">
        <v>0</v>
      </c>
      <c r="AK2" s="8" t="s">
        <v>0</v>
      </c>
      <c r="AL2" s="8" t="s">
        <v>0</v>
      </c>
      <c r="AM2" s="8" t="s">
        <v>0</v>
      </c>
      <c r="AN2" s="8" t="s">
        <v>0</v>
      </c>
      <c r="AO2" s="8" t="s">
        <v>0</v>
      </c>
      <c r="AP2" s="8" t="s">
        <v>0</v>
      </c>
      <c r="AQ2" s="8" t="s">
        <v>0</v>
      </c>
      <c r="AR2" s="8" t="s">
        <v>0</v>
      </c>
      <c r="AS2" s="8" t="s">
        <v>0</v>
      </c>
    </row>
    <row r="3" spans="1:45" ht="33.75">
      <c r="A3" s="2" t="s">
        <v>121</v>
      </c>
      <c r="B3" s="2" t="s">
        <v>379</v>
      </c>
      <c r="C3" s="2" t="s">
        <v>0</v>
      </c>
      <c r="D3" s="2" t="s">
        <v>380</v>
      </c>
      <c r="E3" s="2" t="s">
        <v>381</v>
      </c>
      <c r="F3" s="2" t="s">
        <v>382</v>
      </c>
      <c r="G3" s="2" t="s">
        <v>383</v>
      </c>
      <c r="H3" s="6">
        <v>44490</v>
      </c>
      <c r="I3" s="6">
        <v>44639</v>
      </c>
      <c r="J3" s="2" t="s">
        <v>101</v>
      </c>
      <c r="K3" s="2" t="s">
        <v>0</v>
      </c>
      <c r="L3" s="2" t="s">
        <v>0</v>
      </c>
      <c r="M3" s="2" t="s">
        <v>0</v>
      </c>
      <c r="N3" s="3">
        <v>0</v>
      </c>
      <c r="O3" s="3">
        <v>4</v>
      </c>
      <c r="P3" s="3">
        <v>4</v>
      </c>
      <c r="Q3" s="3">
        <v>2</v>
      </c>
      <c r="R3" s="3">
        <v>2</v>
      </c>
      <c r="S3" s="3">
        <v>0</v>
      </c>
      <c r="T3" s="3">
        <v>2</v>
      </c>
      <c r="U3" s="3">
        <v>14</v>
      </c>
      <c r="V3" s="3">
        <v>0</v>
      </c>
      <c r="W3" s="3">
        <v>0</v>
      </c>
      <c r="X3" s="3">
        <v>594</v>
      </c>
      <c r="Y3" s="3">
        <v>83</v>
      </c>
      <c r="Z3" s="3">
        <v>6</v>
      </c>
      <c r="AA3" s="3">
        <v>139</v>
      </c>
      <c r="AB3" s="3">
        <v>8</v>
      </c>
      <c r="AC3" s="8" t="s">
        <v>0</v>
      </c>
      <c r="AD3" s="8" t="s">
        <v>0</v>
      </c>
      <c r="AE3" s="8" t="s">
        <v>0</v>
      </c>
      <c r="AF3" s="8" t="s">
        <v>0</v>
      </c>
      <c r="AG3" s="8" t="s">
        <v>0</v>
      </c>
      <c r="AH3" s="8" t="s">
        <v>0</v>
      </c>
      <c r="AI3" s="8" t="s">
        <v>0</v>
      </c>
      <c r="AJ3" s="8" t="s">
        <v>0</v>
      </c>
      <c r="AK3" s="8" t="s">
        <v>0</v>
      </c>
      <c r="AL3" s="8" t="s">
        <v>0</v>
      </c>
      <c r="AM3" s="8" t="s">
        <v>0</v>
      </c>
      <c r="AN3" s="8" t="s">
        <v>0</v>
      </c>
      <c r="AO3" s="8" t="s">
        <v>0</v>
      </c>
      <c r="AP3" s="8" t="s">
        <v>0</v>
      </c>
      <c r="AQ3" s="8" t="s">
        <v>0</v>
      </c>
      <c r="AR3" s="8" t="s">
        <v>0</v>
      </c>
      <c r="AS3" s="8" t="s">
        <v>0</v>
      </c>
    </row>
    <row r="4" spans="1:45" ht="33.75">
      <c r="A4" s="2" t="s">
        <v>26</v>
      </c>
      <c r="B4" s="2" t="s">
        <v>384</v>
      </c>
      <c r="C4" s="2" t="s">
        <v>0</v>
      </c>
      <c r="D4" s="2" t="s">
        <v>385</v>
      </c>
      <c r="E4" s="2" t="s">
        <v>386</v>
      </c>
      <c r="F4" s="2" t="s">
        <v>387</v>
      </c>
      <c r="G4" s="2" t="s">
        <v>388</v>
      </c>
      <c r="H4" s="6">
        <v>42298</v>
      </c>
      <c r="I4" s="6">
        <v>42296</v>
      </c>
      <c r="J4" s="2" t="s">
        <v>101</v>
      </c>
      <c r="K4" s="2" t="s">
        <v>0</v>
      </c>
      <c r="L4" s="3">
        <v>4</v>
      </c>
      <c r="M4" s="2" t="s">
        <v>0</v>
      </c>
      <c r="N4" s="3">
        <v>1</v>
      </c>
      <c r="O4" s="3">
        <v>3</v>
      </c>
      <c r="P4" s="3">
        <v>0</v>
      </c>
      <c r="Q4" s="3">
        <v>3</v>
      </c>
      <c r="R4" s="3">
        <v>0</v>
      </c>
      <c r="S4" s="3">
        <v>0</v>
      </c>
      <c r="T4" s="3">
        <v>0</v>
      </c>
      <c r="U4" s="3">
        <v>14</v>
      </c>
      <c r="V4" s="3">
        <v>14</v>
      </c>
      <c r="W4" s="3">
        <v>0</v>
      </c>
      <c r="X4" s="3">
        <v>566</v>
      </c>
      <c r="Y4" s="3">
        <v>76</v>
      </c>
      <c r="Z4" s="3">
        <v>4</v>
      </c>
      <c r="AA4" s="3">
        <v>148</v>
      </c>
      <c r="AB4" s="3">
        <v>6</v>
      </c>
      <c r="AC4" s="8" t="s">
        <v>0</v>
      </c>
      <c r="AD4" s="8" t="s">
        <v>0</v>
      </c>
      <c r="AE4" s="8" t="s">
        <v>0</v>
      </c>
      <c r="AF4" s="8" t="s">
        <v>0</v>
      </c>
      <c r="AG4" s="8" t="s">
        <v>0</v>
      </c>
      <c r="AH4" s="8" t="s">
        <v>0</v>
      </c>
      <c r="AI4" s="8" t="s">
        <v>0</v>
      </c>
      <c r="AJ4" s="8" t="s">
        <v>0</v>
      </c>
      <c r="AK4" s="8" t="s">
        <v>0</v>
      </c>
      <c r="AL4" s="8" t="s">
        <v>0</v>
      </c>
      <c r="AM4" s="8" t="s">
        <v>0</v>
      </c>
      <c r="AN4" s="8" t="s">
        <v>0</v>
      </c>
      <c r="AO4" s="8" t="s">
        <v>0</v>
      </c>
      <c r="AP4" s="8" t="s">
        <v>0</v>
      </c>
      <c r="AQ4" s="8" t="s">
        <v>0</v>
      </c>
      <c r="AR4" s="8" t="s">
        <v>0</v>
      </c>
      <c r="AS4" s="8" t="s">
        <v>0</v>
      </c>
    </row>
    <row r="5" spans="1:45" ht="33.75">
      <c r="A5" s="2" t="s">
        <v>121</v>
      </c>
      <c r="B5" s="2" t="s">
        <v>389</v>
      </c>
      <c r="C5" s="2" t="s">
        <v>0</v>
      </c>
      <c r="D5" s="2" t="s">
        <v>390</v>
      </c>
      <c r="E5" s="2" t="s">
        <v>391</v>
      </c>
      <c r="F5" s="2" t="s">
        <v>392</v>
      </c>
      <c r="G5" s="2" t="s">
        <v>393</v>
      </c>
      <c r="H5" s="6">
        <v>44490</v>
      </c>
      <c r="I5" s="6">
        <v>44490</v>
      </c>
      <c r="J5" s="2" t="s">
        <v>101</v>
      </c>
      <c r="K5" s="2" t="s">
        <v>0</v>
      </c>
      <c r="L5" s="2" t="s">
        <v>0</v>
      </c>
      <c r="M5" s="2" t="s">
        <v>0</v>
      </c>
      <c r="N5" s="3">
        <v>0</v>
      </c>
      <c r="O5" s="3">
        <v>3</v>
      </c>
      <c r="P5" s="3">
        <v>3</v>
      </c>
      <c r="Q5" s="3">
        <v>3</v>
      </c>
      <c r="R5" s="3">
        <v>3</v>
      </c>
      <c r="S5" s="3">
        <v>0</v>
      </c>
      <c r="T5" s="3">
        <v>3</v>
      </c>
      <c r="U5" s="3">
        <v>14</v>
      </c>
      <c r="V5" s="3">
        <v>0</v>
      </c>
      <c r="W5" s="3">
        <v>0</v>
      </c>
      <c r="X5" s="3">
        <v>566</v>
      </c>
      <c r="Y5" s="3">
        <v>76</v>
      </c>
      <c r="Z5" s="3">
        <v>4</v>
      </c>
      <c r="AA5" s="3">
        <v>148</v>
      </c>
      <c r="AB5" s="3">
        <v>6</v>
      </c>
      <c r="AC5" s="8" t="s">
        <v>0</v>
      </c>
      <c r="AD5" s="8" t="s">
        <v>0</v>
      </c>
      <c r="AE5" s="8" t="s">
        <v>0</v>
      </c>
      <c r="AF5" s="8" t="s">
        <v>0</v>
      </c>
      <c r="AG5" s="8" t="s">
        <v>0</v>
      </c>
      <c r="AH5" s="8" t="s">
        <v>0</v>
      </c>
      <c r="AI5" s="8" t="s">
        <v>0</v>
      </c>
      <c r="AJ5" s="8" t="s">
        <v>0</v>
      </c>
      <c r="AK5" s="8" t="s">
        <v>0</v>
      </c>
      <c r="AL5" s="8" t="s">
        <v>0</v>
      </c>
      <c r="AM5" s="8" t="s">
        <v>0</v>
      </c>
      <c r="AN5" s="8" t="s">
        <v>0</v>
      </c>
      <c r="AO5" s="8" t="s">
        <v>0</v>
      </c>
      <c r="AP5" s="8" t="s">
        <v>0</v>
      </c>
      <c r="AQ5" s="8" t="s">
        <v>0</v>
      </c>
      <c r="AR5" s="8" t="s">
        <v>0</v>
      </c>
      <c r="AS5" s="8" t="s">
        <v>0</v>
      </c>
    </row>
    <row r="6" spans="1:45" ht="33.75">
      <c r="A6" s="2" t="s">
        <v>121</v>
      </c>
      <c r="B6" s="2" t="s">
        <v>394</v>
      </c>
      <c r="C6" s="2" t="s">
        <v>0</v>
      </c>
      <c r="D6" s="2" t="s">
        <v>395</v>
      </c>
      <c r="E6" s="2" t="s">
        <v>396</v>
      </c>
      <c r="F6" s="2" t="s">
        <v>397</v>
      </c>
      <c r="G6" s="2" t="s">
        <v>0</v>
      </c>
      <c r="H6" s="6">
        <v>42298</v>
      </c>
      <c r="I6" s="6">
        <v>42298</v>
      </c>
      <c r="J6" s="2" t="s">
        <v>101</v>
      </c>
      <c r="K6" s="2" t="s">
        <v>0</v>
      </c>
      <c r="L6" s="2" t="s">
        <v>0</v>
      </c>
      <c r="M6" s="2" t="s">
        <v>0</v>
      </c>
      <c r="N6" s="3">
        <v>0</v>
      </c>
      <c r="O6" s="3">
        <v>4</v>
      </c>
      <c r="P6" s="3">
        <v>4</v>
      </c>
      <c r="Q6" s="3">
        <v>3</v>
      </c>
      <c r="R6" s="3">
        <v>3</v>
      </c>
      <c r="S6" s="3">
        <v>0</v>
      </c>
      <c r="T6" s="3">
        <v>2</v>
      </c>
      <c r="U6" s="3">
        <v>15</v>
      </c>
      <c r="V6" s="3">
        <v>0</v>
      </c>
      <c r="W6" s="3">
        <v>2</v>
      </c>
      <c r="X6" s="3">
        <v>309</v>
      </c>
      <c r="Y6" s="3">
        <v>55</v>
      </c>
      <c r="Z6" s="3">
        <v>5</v>
      </c>
      <c r="AA6" s="3">
        <v>82</v>
      </c>
      <c r="AB6" s="3">
        <v>15</v>
      </c>
      <c r="AC6" s="8" t="s">
        <v>0</v>
      </c>
      <c r="AD6" s="8" t="s">
        <v>0</v>
      </c>
      <c r="AE6" s="8" t="s">
        <v>0</v>
      </c>
      <c r="AF6" s="8" t="s">
        <v>0</v>
      </c>
      <c r="AG6" s="8" t="s">
        <v>0</v>
      </c>
      <c r="AH6" s="8" t="s">
        <v>0</v>
      </c>
      <c r="AI6" s="8" t="s">
        <v>0</v>
      </c>
      <c r="AJ6" s="8" t="s">
        <v>0</v>
      </c>
      <c r="AK6" s="8" t="s">
        <v>0</v>
      </c>
      <c r="AL6" s="8" t="s">
        <v>0</v>
      </c>
      <c r="AM6" s="8" t="s">
        <v>0</v>
      </c>
      <c r="AN6" s="8" t="s">
        <v>0</v>
      </c>
      <c r="AO6" s="8" t="s">
        <v>0</v>
      </c>
      <c r="AP6" s="8" t="s">
        <v>0</v>
      </c>
      <c r="AQ6" s="8" t="s">
        <v>0</v>
      </c>
      <c r="AR6" s="8" t="s">
        <v>0</v>
      </c>
      <c r="AS6" s="8" t="s">
        <v>0</v>
      </c>
    </row>
    <row r="7" spans="1:45" ht="33.75">
      <c r="A7" s="2" t="s">
        <v>26</v>
      </c>
      <c r="B7" s="2" t="s">
        <v>398</v>
      </c>
      <c r="C7" s="2" t="s">
        <v>0</v>
      </c>
      <c r="D7" s="2" t="s">
        <v>399</v>
      </c>
      <c r="E7" s="2" t="s">
        <v>400</v>
      </c>
      <c r="F7" s="2" t="s">
        <v>401</v>
      </c>
      <c r="G7" s="2" t="s">
        <v>402</v>
      </c>
      <c r="H7" s="6">
        <v>42298</v>
      </c>
      <c r="I7" s="6">
        <v>42298</v>
      </c>
      <c r="J7" s="2" t="s">
        <v>101</v>
      </c>
      <c r="K7" s="2" t="s">
        <v>0</v>
      </c>
      <c r="L7" s="2" t="s">
        <v>0</v>
      </c>
      <c r="M7" s="2" t="s">
        <v>0</v>
      </c>
      <c r="N7" s="3">
        <v>1</v>
      </c>
      <c r="O7" s="3">
        <v>8</v>
      </c>
      <c r="P7" s="3">
        <v>4</v>
      </c>
      <c r="Q7" s="3">
        <v>4</v>
      </c>
      <c r="R7" s="3">
        <v>2</v>
      </c>
      <c r="S7" s="3">
        <v>0</v>
      </c>
      <c r="T7" s="3">
        <v>2</v>
      </c>
      <c r="U7" s="3">
        <v>14</v>
      </c>
      <c r="V7" s="3">
        <v>14</v>
      </c>
      <c r="W7" s="3">
        <v>0</v>
      </c>
      <c r="X7" s="3">
        <v>594</v>
      </c>
      <c r="Y7" s="3">
        <v>83</v>
      </c>
      <c r="Z7" s="3">
        <v>6</v>
      </c>
      <c r="AA7" s="3">
        <v>139</v>
      </c>
      <c r="AB7" s="3">
        <v>8</v>
      </c>
      <c r="AC7" s="8" t="s">
        <v>0</v>
      </c>
      <c r="AD7" s="8" t="s">
        <v>0</v>
      </c>
      <c r="AE7" s="8" t="s">
        <v>0</v>
      </c>
      <c r="AF7" s="8" t="s">
        <v>0</v>
      </c>
      <c r="AG7" s="8" t="s">
        <v>0</v>
      </c>
      <c r="AH7" s="8" t="s">
        <v>0</v>
      </c>
      <c r="AI7" s="8" t="s">
        <v>0</v>
      </c>
      <c r="AJ7" s="8" t="s">
        <v>0</v>
      </c>
      <c r="AK7" s="8" t="s">
        <v>0</v>
      </c>
      <c r="AL7" s="8" t="s">
        <v>0</v>
      </c>
      <c r="AM7" s="8" t="s">
        <v>0</v>
      </c>
      <c r="AN7" s="8" t="s">
        <v>0</v>
      </c>
      <c r="AO7" s="8" t="s">
        <v>0</v>
      </c>
      <c r="AP7" s="8" t="s">
        <v>0</v>
      </c>
      <c r="AQ7" s="8" t="s">
        <v>0</v>
      </c>
      <c r="AR7" s="8" t="s">
        <v>0</v>
      </c>
      <c r="AS7" s="8" t="s">
        <v>0</v>
      </c>
    </row>
    <row r="8" spans="1:45" ht="33.75">
      <c r="A8" s="2" t="s">
        <v>26</v>
      </c>
      <c r="B8" s="2" t="s">
        <v>403</v>
      </c>
      <c r="C8" s="2" t="s">
        <v>0</v>
      </c>
      <c r="D8" s="2" t="s">
        <v>404</v>
      </c>
      <c r="E8" s="2" t="s">
        <v>405</v>
      </c>
      <c r="F8" s="2" t="s">
        <v>406</v>
      </c>
      <c r="G8" s="2" t="s">
        <v>0</v>
      </c>
      <c r="H8" s="6">
        <v>42298</v>
      </c>
      <c r="I8" s="6">
        <v>42298</v>
      </c>
      <c r="J8" s="2" t="s">
        <v>101</v>
      </c>
      <c r="K8" s="2" t="s">
        <v>0</v>
      </c>
      <c r="L8" s="2" t="s">
        <v>0</v>
      </c>
      <c r="M8" s="2" t="s">
        <v>0</v>
      </c>
      <c r="N8" s="3">
        <v>0</v>
      </c>
      <c r="O8" s="3">
        <v>4</v>
      </c>
      <c r="P8" s="3">
        <v>4</v>
      </c>
      <c r="Q8" s="3">
        <v>4</v>
      </c>
      <c r="R8" s="3">
        <v>4</v>
      </c>
      <c r="S8" s="3">
        <v>1</v>
      </c>
      <c r="T8" s="3">
        <v>4</v>
      </c>
      <c r="U8" s="3">
        <v>16</v>
      </c>
      <c r="V8" s="3">
        <v>16</v>
      </c>
      <c r="W8" s="3">
        <v>2</v>
      </c>
      <c r="X8" s="3">
        <v>358</v>
      </c>
      <c r="Y8" s="3">
        <v>58</v>
      </c>
      <c r="Z8" s="3">
        <v>4</v>
      </c>
      <c r="AA8" s="3">
        <v>98</v>
      </c>
      <c r="AB8" s="3">
        <v>19</v>
      </c>
      <c r="AC8" s="8" t="s">
        <v>0</v>
      </c>
      <c r="AD8" s="8" t="s">
        <v>0</v>
      </c>
      <c r="AE8" s="8" t="s">
        <v>0</v>
      </c>
      <c r="AF8" s="8" t="s">
        <v>0</v>
      </c>
      <c r="AG8" s="8" t="s">
        <v>0</v>
      </c>
      <c r="AH8" s="8" t="s">
        <v>0</v>
      </c>
      <c r="AI8" s="8" t="s">
        <v>0</v>
      </c>
      <c r="AJ8" s="8" t="s">
        <v>0</v>
      </c>
      <c r="AK8" s="8" t="s">
        <v>0</v>
      </c>
      <c r="AL8" s="8" t="s">
        <v>0</v>
      </c>
      <c r="AM8" s="8" t="s">
        <v>0</v>
      </c>
      <c r="AN8" s="8" t="s">
        <v>0</v>
      </c>
      <c r="AO8" s="8" t="s">
        <v>0</v>
      </c>
      <c r="AP8" s="8" t="s">
        <v>0</v>
      </c>
      <c r="AQ8" s="8" t="s">
        <v>0</v>
      </c>
      <c r="AR8" s="8" t="s">
        <v>0</v>
      </c>
      <c r="AS8" s="8" t="s">
        <v>0</v>
      </c>
    </row>
    <row r="9" spans="1:45" ht="33.75">
      <c r="A9" s="2" t="s">
        <v>121</v>
      </c>
      <c r="B9" s="2" t="s">
        <v>407</v>
      </c>
      <c r="C9" s="2" t="s">
        <v>0</v>
      </c>
      <c r="D9" s="2" t="s">
        <v>408</v>
      </c>
      <c r="E9" s="2" t="s">
        <v>409</v>
      </c>
      <c r="F9" s="2" t="s">
        <v>410</v>
      </c>
      <c r="G9" s="2" t="s">
        <v>411</v>
      </c>
      <c r="H9" s="6">
        <v>42298</v>
      </c>
      <c r="I9" s="6">
        <v>42298</v>
      </c>
      <c r="J9" s="2" t="s">
        <v>101</v>
      </c>
      <c r="K9" s="2" t="s">
        <v>0</v>
      </c>
      <c r="L9" s="2" t="s">
        <v>0</v>
      </c>
      <c r="M9" s="2" t="s">
        <v>0</v>
      </c>
      <c r="N9" s="3">
        <v>0</v>
      </c>
      <c r="O9" s="3">
        <v>5</v>
      </c>
      <c r="P9" s="3">
        <v>5</v>
      </c>
      <c r="Q9" s="3">
        <v>5</v>
      </c>
      <c r="R9" s="3">
        <v>5</v>
      </c>
      <c r="S9" s="3">
        <v>0</v>
      </c>
      <c r="T9" s="3">
        <v>1</v>
      </c>
      <c r="U9" s="3">
        <v>14</v>
      </c>
      <c r="V9" s="3">
        <v>0</v>
      </c>
      <c r="W9" s="3">
        <v>2</v>
      </c>
      <c r="X9" s="3">
        <v>449</v>
      </c>
      <c r="Y9" s="3">
        <v>73</v>
      </c>
      <c r="Z9" s="3">
        <v>4</v>
      </c>
      <c r="AA9" s="3">
        <v>133</v>
      </c>
      <c r="AB9" s="3">
        <v>1</v>
      </c>
      <c r="AC9" s="8" t="s">
        <v>0</v>
      </c>
      <c r="AD9" s="8" t="s">
        <v>0</v>
      </c>
      <c r="AE9" s="8" t="s">
        <v>0</v>
      </c>
      <c r="AF9" s="8" t="s">
        <v>0</v>
      </c>
      <c r="AG9" s="8" t="s">
        <v>0</v>
      </c>
      <c r="AH9" s="8" t="s">
        <v>0</v>
      </c>
      <c r="AI9" s="8" t="s">
        <v>0</v>
      </c>
      <c r="AJ9" s="8" t="s">
        <v>0</v>
      </c>
      <c r="AK9" s="8" t="s">
        <v>0</v>
      </c>
      <c r="AL9" s="8" t="s">
        <v>0</v>
      </c>
      <c r="AM9" s="8" t="s">
        <v>0</v>
      </c>
      <c r="AN9" s="8" t="s">
        <v>0</v>
      </c>
      <c r="AO9" s="8" t="s">
        <v>0</v>
      </c>
      <c r="AP9" s="8" t="s">
        <v>0</v>
      </c>
      <c r="AQ9" s="8" t="s">
        <v>0</v>
      </c>
      <c r="AR9" s="8" t="s">
        <v>0</v>
      </c>
      <c r="AS9" s="8" t="s">
        <v>0</v>
      </c>
    </row>
    <row r="10" spans="1:45" ht="33.75">
      <c r="A10" s="2" t="s">
        <v>92</v>
      </c>
      <c r="B10" s="2" t="s">
        <v>412</v>
      </c>
      <c r="C10" s="2" t="s">
        <v>0</v>
      </c>
      <c r="D10" s="2" t="s">
        <v>413</v>
      </c>
      <c r="E10" s="2" t="s">
        <v>414</v>
      </c>
      <c r="F10" s="2" t="s">
        <v>415</v>
      </c>
      <c r="G10" s="2" t="s">
        <v>0</v>
      </c>
      <c r="H10" s="6">
        <v>42298</v>
      </c>
      <c r="I10" s="6">
        <v>42298</v>
      </c>
      <c r="J10" s="2" t="s">
        <v>101</v>
      </c>
      <c r="K10" s="2" t="s">
        <v>0</v>
      </c>
      <c r="L10" s="2" t="s">
        <v>0</v>
      </c>
      <c r="M10" s="2" t="s">
        <v>0</v>
      </c>
      <c r="N10" s="3">
        <v>1</v>
      </c>
      <c r="O10" s="3">
        <v>8</v>
      </c>
      <c r="P10" s="3">
        <v>3</v>
      </c>
      <c r="Q10" s="3">
        <v>7</v>
      </c>
      <c r="R10" s="3">
        <v>2</v>
      </c>
      <c r="S10" s="3">
        <v>0</v>
      </c>
      <c r="T10" s="3">
        <v>2</v>
      </c>
      <c r="U10" s="3">
        <v>14</v>
      </c>
      <c r="V10" s="3">
        <v>14</v>
      </c>
      <c r="W10" s="3">
        <v>2</v>
      </c>
      <c r="X10" s="3">
        <v>449</v>
      </c>
      <c r="Y10" s="3">
        <v>73</v>
      </c>
      <c r="Z10" s="3">
        <v>4</v>
      </c>
      <c r="AA10" s="3">
        <v>133</v>
      </c>
      <c r="AB10" s="3">
        <v>1</v>
      </c>
      <c r="AC10" s="8" t="s">
        <v>0</v>
      </c>
      <c r="AD10" s="8" t="s">
        <v>0</v>
      </c>
      <c r="AE10" s="8" t="s">
        <v>0</v>
      </c>
      <c r="AF10" s="8" t="s">
        <v>0</v>
      </c>
      <c r="AG10" s="8" t="s">
        <v>0</v>
      </c>
      <c r="AH10" s="8" t="s">
        <v>0</v>
      </c>
      <c r="AI10" s="8" t="s">
        <v>0</v>
      </c>
      <c r="AJ10" s="8" t="s">
        <v>0</v>
      </c>
      <c r="AK10" s="8" t="s">
        <v>0</v>
      </c>
      <c r="AL10" s="8" t="s">
        <v>0</v>
      </c>
      <c r="AM10" s="8" t="s">
        <v>0</v>
      </c>
      <c r="AN10" s="8" t="s">
        <v>0</v>
      </c>
      <c r="AO10" s="8" t="s">
        <v>0</v>
      </c>
      <c r="AP10" s="8" t="s">
        <v>0</v>
      </c>
      <c r="AQ10" s="8" t="s">
        <v>0</v>
      </c>
      <c r="AR10" s="8" t="s">
        <v>0</v>
      </c>
      <c r="AS10" s="8" t="s">
        <v>0</v>
      </c>
    </row>
    <row r="11" spans="1:45" ht="45">
      <c r="A11" s="2" t="s">
        <v>92</v>
      </c>
      <c r="B11" s="2" t="s">
        <v>416</v>
      </c>
      <c r="C11" s="2" t="s">
        <v>0</v>
      </c>
      <c r="D11" s="2" t="s">
        <v>417</v>
      </c>
      <c r="E11" s="2" t="s">
        <v>418</v>
      </c>
      <c r="F11" s="2" t="s">
        <v>419</v>
      </c>
      <c r="G11" s="2" t="s">
        <v>420</v>
      </c>
      <c r="H11" s="6">
        <v>42298</v>
      </c>
      <c r="I11" s="6">
        <v>42296</v>
      </c>
      <c r="J11" s="2" t="s">
        <v>101</v>
      </c>
      <c r="K11" s="2" t="s">
        <v>0</v>
      </c>
      <c r="L11" s="2" t="s">
        <v>0</v>
      </c>
      <c r="M11" s="2" t="s">
        <v>0</v>
      </c>
      <c r="N11" s="3">
        <v>1</v>
      </c>
      <c r="O11" s="3">
        <v>12</v>
      </c>
      <c r="P11" s="3">
        <v>8</v>
      </c>
      <c r="Q11" s="3">
        <v>11</v>
      </c>
      <c r="R11" s="3">
        <v>8</v>
      </c>
      <c r="S11" s="3">
        <v>0</v>
      </c>
      <c r="T11" s="3">
        <v>6</v>
      </c>
      <c r="U11" s="3">
        <v>15</v>
      </c>
      <c r="V11" s="3">
        <v>15</v>
      </c>
      <c r="W11" s="3">
        <v>2</v>
      </c>
      <c r="X11" s="3">
        <v>309</v>
      </c>
      <c r="Y11" s="3">
        <v>55</v>
      </c>
      <c r="Z11" s="3">
        <v>5</v>
      </c>
      <c r="AA11" s="3">
        <v>82</v>
      </c>
      <c r="AB11" s="3">
        <v>15</v>
      </c>
      <c r="AC11" s="8" t="s">
        <v>0</v>
      </c>
      <c r="AD11" s="8" t="s">
        <v>0</v>
      </c>
      <c r="AE11" s="8" t="s">
        <v>0</v>
      </c>
      <c r="AF11" s="8" t="s">
        <v>0</v>
      </c>
      <c r="AG11" s="8" t="s">
        <v>0</v>
      </c>
      <c r="AH11" s="8" t="s">
        <v>0</v>
      </c>
      <c r="AI11" s="8" t="s">
        <v>0</v>
      </c>
      <c r="AJ11" s="8" t="s">
        <v>0</v>
      </c>
      <c r="AK11" s="8" t="s">
        <v>0</v>
      </c>
      <c r="AL11" s="8" t="s">
        <v>0</v>
      </c>
      <c r="AM11" s="8" t="s">
        <v>0</v>
      </c>
      <c r="AN11" s="8" t="s">
        <v>0</v>
      </c>
      <c r="AO11" s="8" t="s">
        <v>0</v>
      </c>
      <c r="AP11" s="8" t="s">
        <v>0</v>
      </c>
      <c r="AQ11" s="8" t="s">
        <v>0</v>
      </c>
      <c r="AR11" s="8" t="s">
        <v>0</v>
      </c>
      <c r="AS11" s="8" t="s">
        <v>0</v>
      </c>
    </row>
    <row r="12" spans="1:45">
      <c r="A12" s="4" t="s">
        <v>421</v>
      </c>
      <c r="B12" s="5" t="s">
        <v>0</v>
      </c>
      <c r="C12" s="5" t="s">
        <v>0</v>
      </c>
      <c r="D12" s="5" t="s">
        <v>0</v>
      </c>
      <c r="E12" s="5" t="s">
        <v>0</v>
      </c>
      <c r="F12" s="5" t="s">
        <v>0</v>
      </c>
      <c r="G12" s="5" t="s">
        <v>0</v>
      </c>
      <c r="H12" s="5" t="s">
        <v>0</v>
      </c>
      <c r="I12" s="5" t="s">
        <v>0</v>
      </c>
      <c r="J12" s="5" t="s">
        <v>0</v>
      </c>
      <c r="K12" s="5" t="s">
        <v>0</v>
      </c>
      <c r="L12" s="5" t="s">
        <v>0</v>
      </c>
      <c r="M12" s="5" t="s">
        <v>0</v>
      </c>
      <c r="N12" s="5" t="s">
        <v>0</v>
      </c>
      <c r="O12" s="5" t="s">
        <v>0</v>
      </c>
      <c r="P12" s="5" t="s">
        <v>0</v>
      </c>
      <c r="Q12" s="5" t="s">
        <v>0</v>
      </c>
      <c r="R12" s="5" t="s">
        <v>0</v>
      </c>
      <c r="S12" s="5" t="s">
        <v>0</v>
      </c>
      <c r="T12" s="5" t="s">
        <v>0</v>
      </c>
      <c r="U12" s="5" t="s">
        <v>0</v>
      </c>
      <c r="V12" s="5" t="s">
        <v>0</v>
      </c>
      <c r="W12" s="5" t="s">
        <v>0</v>
      </c>
      <c r="X12" s="5" t="s">
        <v>0</v>
      </c>
      <c r="Y12" s="5" t="s">
        <v>0</v>
      </c>
      <c r="Z12" s="5" t="s">
        <v>0</v>
      </c>
      <c r="AA12" s="5" t="s">
        <v>0</v>
      </c>
      <c r="AB12" s="5" t="s">
        <v>0</v>
      </c>
      <c r="AC12" s="5" t="s">
        <v>0</v>
      </c>
      <c r="AD12" s="5" t="s">
        <v>0</v>
      </c>
      <c r="AE12" s="5" t="s">
        <v>0</v>
      </c>
      <c r="AF12" s="5" t="s">
        <v>0</v>
      </c>
      <c r="AG12" s="5" t="s">
        <v>0</v>
      </c>
      <c r="AH12" s="5" t="s">
        <v>0</v>
      </c>
      <c r="AI12" s="5" t="s">
        <v>0</v>
      </c>
      <c r="AJ12" s="5" t="s">
        <v>0</v>
      </c>
      <c r="AK12" s="5" t="s">
        <v>0</v>
      </c>
      <c r="AL12" s="5" t="s">
        <v>0</v>
      </c>
      <c r="AM12" s="5" t="s">
        <v>0</v>
      </c>
      <c r="AN12" s="5" t="s">
        <v>0</v>
      </c>
      <c r="AO12" s="5" t="s">
        <v>0</v>
      </c>
      <c r="AP12" s="5" t="s">
        <v>0</v>
      </c>
      <c r="AQ12" s="5" t="s">
        <v>0</v>
      </c>
      <c r="AR12" s="5" t="s">
        <v>0</v>
      </c>
      <c r="AS12" s="5" t="s">
        <v>0</v>
      </c>
    </row>
  </sheetData>
  <autoFilter ref="A1:AS12" xr:uid="{00000000-0009-0000-0000-000002000000}"/>
  <pageMargins left="0.25" right="0.25" top="0.25" bottom="0.25" header="0.3" footer="0.3"/>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N106"/>
  <sheetViews>
    <sheetView workbookViewId="0">
      <pane xSplit="4" ySplit="1" topLeftCell="E2" activePane="bottomRight" state="frozen"/>
      <selection pane="topRight"/>
      <selection pane="bottomLeft"/>
      <selection pane="bottomRight" activeCell="G11" sqref="G11"/>
    </sheetView>
  </sheetViews>
  <sheetFormatPr baseColWidth="10" defaultColWidth="9.140625" defaultRowHeight="15"/>
  <cols>
    <col min="1" max="1" width="14.140625" customWidth="1"/>
    <col min="2" max="4" width="21.28515625" customWidth="1"/>
    <col min="5" max="16" width="52.5703125" customWidth="1"/>
    <col min="17" max="25" width="14.140625" customWidth="1"/>
    <col min="26" max="40" width="52.5703125" customWidth="1"/>
  </cols>
  <sheetData>
    <row r="1" spans="1:40">
      <c r="A1" s="1" t="s">
        <v>1</v>
      </c>
      <c r="B1" s="1" t="s">
        <v>422</v>
      </c>
      <c r="C1" s="1" t="s">
        <v>423</v>
      </c>
      <c r="D1" s="1" t="s">
        <v>424</v>
      </c>
      <c r="E1" s="1" t="s">
        <v>425</v>
      </c>
      <c r="F1" s="1" t="s">
        <v>426</v>
      </c>
      <c r="G1" s="1" t="s">
        <v>427</v>
      </c>
      <c r="H1" s="1" t="s">
        <v>428</v>
      </c>
      <c r="I1" s="1" t="s">
        <v>429</v>
      </c>
      <c r="J1" s="1" t="s">
        <v>430</v>
      </c>
      <c r="K1" s="1" t="s">
        <v>431</v>
      </c>
      <c r="L1" s="1" t="s">
        <v>432</v>
      </c>
      <c r="M1" s="1" t="s">
        <v>2</v>
      </c>
      <c r="N1" s="1" t="s">
        <v>5</v>
      </c>
      <c r="O1" s="1" t="s">
        <v>433</v>
      </c>
      <c r="P1" s="1" t="s">
        <v>4</v>
      </c>
      <c r="Q1" s="1" t="s">
        <v>434</v>
      </c>
      <c r="R1" s="1" t="s">
        <v>435</v>
      </c>
      <c r="S1" s="1" t="s">
        <v>436</v>
      </c>
      <c r="T1" s="1" t="s">
        <v>437</v>
      </c>
      <c r="U1" s="1" t="s">
        <v>438</v>
      </c>
      <c r="V1" s="1" t="s">
        <v>439</v>
      </c>
      <c r="W1" s="1" t="s">
        <v>440</v>
      </c>
      <c r="X1" s="1" t="s">
        <v>366</v>
      </c>
      <c r="Y1" s="1" t="s">
        <v>367</v>
      </c>
      <c r="Z1" s="7" t="s">
        <v>0</v>
      </c>
      <c r="AA1" s="7" t="s">
        <v>0</v>
      </c>
      <c r="AB1" s="7" t="s">
        <v>0</v>
      </c>
      <c r="AC1" s="7" t="s">
        <v>0</v>
      </c>
      <c r="AD1" s="7" t="s">
        <v>0</v>
      </c>
      <c r="AE1" s="7" t="s">
        <v>0</v>
      </c>
      <c r="AF1" s="7" t="s">
        <v>0</v>
      </c>
      <c r="AG1" s="7" t="s">
        <v>0</v>
      </c>
      <c r="AH1" s="7" t="s">
        <v>0</v>
      </c>
      <c r="AI1" s="7" t="s">
        <v>0</v>
      </c>
      <c r="AJ1" s="7" t="s">
        <v>0</v>
      </c>
      <c r="AK1" s="7" t="s">
        <v>0</v>
      </c>
      <c r="AL1" s="7" t="s">
        <v>0</v>
      </c>
      <c r="AM1" s="7" t="s">
        <v>0</v>
      </c>
      <c r="AN1" s="7" t="s">
        <v>0</v>
      </c>
    </row>
    <row r="2" spans="1:40" ht="22.5">
      <c r="A2" s="2" t="s">
        <v>26</v>
      </c>
      <c r="B2" s="2" t="s">
        <v>441</v>
      </c>
      <c r="C2" s="2" t="s">
        <v>442</v>
      </c>
      <c r="D2" s="2" t="s">
        <v>443</v>
      </c>
      <c r="E2" s="2" t="s">
        <v>444</v>
      </c>
      <c r="F2" s="2" t="s">
        <v>445</v>
      </c>
      <c r="G2" s="2" t="s">
        <v>924</v>
      </c>
      <c r="H2" s="2" t="s">
        <v>446</v>
      </c>
      <c r="I2" s="2" t="s">
        <v>0</v>
      </c>
      <c r="J2" s="2" t="s">
        <v>0</v>
      </c>
      <c r="K2" s="2" t="s">
        <v>0</v>
      </c>
      <c r="L2" s="2" t="s">
        <v>447</v>
      </c>
      <c r="M2" s="2" t="s">
        <v>27</v>
      </c>
      <c r="N2" s="2" t="s">
        <v>30</v>
      </c>
      <c r="O2" s="2" t="s">
        <v>28</v>
      </c>
      <c r="P2" s="2" t="s">
        <v>29</v>
      </c>
      <c r="Q2" s="2">
        <v>34</v>
      </c>
      <c r="R2" s="2">
        <v>12</v>
      </c>
      <c r="S2" s="2">
        <v>0</v>
      </c>
      <c r="T2" s="2">
        <v>0</v>
      </c>
      <c r="U2" s="2">
        <v>0</v>
      </c>
      <c r="V2" s="2">
        <v>10</v>
      </c>
      <c r="W2" s="2">
        <v>28</v>
      </c>
      <c r="X2" s="2">
        <v>1</v>
      </c>
      <c r="Y2" s="2">
        <v>18</v>
      </c>
      <c r="Z2" s="8" t="s">
        <v>0</v>
      </c>
      <c r="AA2" s="8" t="s">
        <v>0</v>
      </c>
      <c r="AB2" s="8" t="s">
        <v>0</v>
      </c>
      <c r="AC2" s="8" t="s">
        <v>0</v>
      </c>
      <c r="AD2" s="8" t="s">
        <v>0</v>
      </c>
      <c r="AE2" s="8" t="s">
        <v>0</v>
      </c>
      <c r="AF2" s="8" t="s">
        <v>0</v>
      </c>
      <c r="AG2" s="8" t="s">
        <v>0</v>
      </c>
      <c r="AH2" s="8" t="s">
        <v>0</v>
      </c>
      <c r="AI2" s="8" t="s">
        <v>0</v>
      </c>
      <c r="AJ2" s="8" t="s">
        <v>0</v>
      </c>
      <c r="AK2" s="8" t="s">
        <v>0</v>
      </c>
      <c r="AL2" s="8" t="s">
        <v>0</v>
      </c>
      <c r="AM2" s="8" t="s">
        <v>0</v>
      </c>
      <c r="AN2" s="8" t="s">
        <v>0</v>
      </c>
    </row>
    <row r="3" spans="1:40" ht="22.5">
      <c r="A3" s="2" t="s">
        <v>26</v>
      </c>
      <c r="B3" s="2" t="s">
        <v>448</v>
      </c>
      <c r="C3" s="2" t="s">
        <v>449</v>
      </c>
      <c r="D3" s="2" t="s">
        <v>443</v>
      </c>
      <c r="E3" s="2" t="s">
        <v>444</v>
      </c>
      <c r="F3" s="2" t="s">
        <v>445</v>
      </c>
      <c r="G3" s="2" t="s">
        <v>924</v>
      </c>
      <c r="H3" s="2" t="s">
        <v>446</v>
      </c>
      <c r="I3" s="2" t="s">
        <v>0</v>
      </c>
      <c r="J3" s="2" t="s">
        <v>0</v>
      </c>
      <c r="K3" s="2" t="s">
        <v>0</v>
      </c>
      <c r="L3" s="2" t="s">
        <v>450</v>
      </c>
      <c r="M3" s="2" t="s">
        <v>27</v>
      </c>
      <c r="N3" s="2" t="s">
        <v>30</v>
      </c>
      <c r="O3" s="2" t="s">
        <v>28</v>
      </c>
      <c r="P3" s="2" t="s">
        <v>29</v>
      </c>
      <c r="Q3" s="2">
        <v>34</v>
      </c>
      <c r="R3" s="2">
        <v>12</v>
      </c>
      <c r="S3" s="2">
        <v>0</v>
      </c>
      <c r="T3" s="2">
        <v>0</v>
      </c>
      <c r="U3" s="2">
        <v>0</v>
      </c>
      <c r="V3" s="2">
        <v>10</v>
      </c>
      <c r="W3" s="2">
        <v>28</v>
      </c>
      <c r="X3" s="2">
        <v>1</v>
      </c>
      <c r="Y3" s="2">
        <v>18</v>
      </c>
      <c r="Z3" s="8" t="s">
        <v>0</v>
      </c>
      <c r="AA3" s="8" t="s">
        <v>0</v>
      </c>
      <c r="AB3" s="8" t="s">
        <v>0</v>
      </c>
      <c r="AC3" s="8" t="s">
        <v>0</v>
      </c>
      <c r="AD3" s="8" t="s">
        <v>0</v>
      </c>
      <c r="AE3" s="8" t="s">
        <v>0</v>
      </c>
      <c r="AF3" s="8" t="s">
        <v>0</v>
      </c>
      <c r="AG3" s="8" t="s">
        <v>0</v>
      </c>
      <c r="AH3" s="8" t="s">
        <v>0</v>
      </c>
      <c r="AI3" s="8" t="s">
        <v>0</v>
      </c>
      <c r="AJ3" s="8" t="s">
        <v>0</v>
      </c>
      <c r="AK3" s="8" t="s">
        <v>0</v>
      </c>
      <c r="AL3" s="8" t="s">
        <v>0</v>
      </c>
      <c r="AM3" s="8" t="s">
        <v>0</v>
      </c>
      <c r="AN3" s="8" t="s">
        <v>0</v>
      </c>
    </row>
    <row r="4" spans="1:40" ht="22.5">
      <c r="A4" s="2" t="s">
        <v>26</v>
      </c>
      <c r="B4" s="2" t="s">
        <v>451</v>
      </c>
      <c r="C4" s="2" t="s">
        <v>452</v>
      </c>
      <c r="D4" s="2" t="s">
        <v>443</v>
      </c>
      <c r="E4" s="2" t="s">
        <v>444</v>
      </c>
      <c r="F4" s="2" t="s">
        <v>445</v>
      </c>
      <c r="G4" s="2" t="s">
        <v>924</v>
      </c>
      <c r="H4" s="2" t="s">
        <v>446</v>
      </c>
      <c r="I4" s="2" t="s">
        <v>0</v>
      </c>
      <c r="J4" s="2" t="s">
        <v>0</v>
      </c>
      <c r="K4" s="2" t="s">
        <v>0</v>
      </c>
      <c r="L4" s="2" t="s">
        <v>453</v>
      </c>
      <c r="M4" s="2" t="s">
        <v>27</v>
      </c>
      <c r="N4" s="2" t="s">
        <v>30</v>
      </c>
      <c r="O4" s="2" t="s">
        <v>28</v>
      </c>
      <c r="P4" s="2" t="s">
        <v>29</v>
      </c>
      <c r="Q4" s="2">
        <v>34</v>
      </c>
      <c r="R4" s="2">
        <v>12</v>
      </c>
      <c r="S4" s="2">
        <v>0</v>
      </c>
      <c r="T4" s="2">
        <v>0</v>
      </c>
      <c r="U4" s="2">
        <v>0</v>
      </c>
      <c r="V4" s="2">
        <v>10</v>
      </c>
      <c r="W4" s="2">
        <v>28</v>
      </c>
      <c r="X4" s="2">
        <v>1</v>
      </c>
      <c r="Y4" s="2">
        <v>18</v>
      </c>
      <c r="Z4" s="8" t="s">
        <v>0</v>
      </c>
      <c r="AA4" s="8" t="s">
        <v>0</v>
      </c>
      <c r="AB4" s="8" t="s">
        <v>0</v>
      </c>
      <c r="AC4" s="8" t="s">
        <v>0</v>
      </c>
      <c r="AD4" s="8" t="s">
        <v>0</v>
      </c>
      <c r="AE4" s="8" t="s">
        <v>0</v>
      </c>
      <c r="AF4" s="8" t="s">
        <v>0</v>
      </c>
      <c r="AG4" s="8" t="s">
        <v>0</v>
      </c>
      <c r="AH4" s="8" t="s">
        <v>0</v>
      </c>
      <c r="AI4" s="8" t="s">
        <v>0</v>
      </c>
      <c r="AJ4" s="8" t="s">
        <v>0</v>
      </c>
      <c r="AK4" s="8" t="s">
        <v>0</v>
      </c>
      <c r="AL4" s="8" t="s">
        <v>0</v>
      </c>
      <c r="AM4" s="8" t="s">
        <v>0</v>
      </c>
      <c r="AN4" s="8" t="s">
        <v>0</v>
      </c>
    </row>
    <row r="5" spans="1:40" ht="22.5">
      <c r="A5" s="2" t="s">
        <v>26</v>
      </c>
      <c r="B5" s="2" t="s">
        <v>454</v>
      </c>
      <c r="C5" s="2" t="s">
        <v>455</v>
      </c>
      <c r="D5" s="2" t="s">
        <v>456</v>
      </c>
      <c r="E5" s="2" t="s">
        <v>444</v>
      </c>
      <c r="F5" s="2" t="s">
        <v>445</v>
      </c>
      <c r="G5" s="2" t="s">
        <v>924</v>
      </c>
      <c r="H5" s="2" t="s">
        <v>446</v>
      </c>
      <c r="I5" s="2" t="s">
        <v>0</v>
      </c>
      <c r="J5" s="2" t="s">
        <v>0</v>
      </c>
      <c r="K5" s="2" t="s">
        <v>0</v>
      </c>
      <c r="L5" s="2" t="s">
        <v>457</v>
      </c>
      <c r="M5" s="2" t="s">
        <v>27</v>
      </c>
      <c r="N5" s="2" t="s">
        <v>30</v>
      </c>
      <c r="O5" s="2" t="s">
        <v>28</v>
      </c>
      <c r="P5" s="2" t="s">
        <v>29</v>
      </c>
      <c r="Q5" s="2">
        <v>34</v>
      </c>
      <c r="R5" s="2">
        <v>12</v>
      </c>
      <c r="S5" s="2">
        <v>0</v>
      </c>
      <c r="T5" s="2">
        <v>0</v>
      </c>
      <c r="U5" s="2">
        <v>0</v>
      </c>
      <c r="V5" s="2">
        <v>10</v>
      </c>
      <c r="W5" s="2">
        <v>28</v>
      </c>
      <c r="X5" s="2">
        <v>1</v>
      </c>
      <c r="Y5" s="2">
        <v>18</v>
      </c>
      <c r="Z5" s="8" t="s">
        <v>0</v>
      </c>
      <c r="AA5" s="8" t="s">
        <v>0</v>
      </c>
      <c r="AB5" s="8" t="s">
        <v>0</v>
      </c>
      <c r="AC5" s="8" t="s">
        <v>0</v>
      </c>
      <c r="AD5" s="8" t="s">
        <v>0</v>
      </c>
      <c r="AE5" s="8" t="s">
        <v>0</v>
      </c>
      <c r="AF5" s="8" t="s">
        <v>0</v>
      </c>
      <c r="AG5" s="8" t="s">
        <v>0</v>
      </c>
      <c r="AH5" s="8" t="s">
        <v>0</v>
      </c>
      <c r="AI5" s="8" t="s">
        <v>0</v>
      </c>
      <c r="AJ5" s="8" t="s">
        <v>0</v>
      </c>
      <c r="AK5" s="8" t="s">
        <v>0</v>
      </c>
      <c r="AL5" s="8" t="s">
        <v>0</v>
      </c>
      <c r="AM5" s="8" t="s">
        <v>0</v>
      </c>
      <c r="AN5" s="8" t="s">
        <v>0</v>
      </c>
    </row>
    <row r="6" spans="1:40" ht="22.5">
      <c r="A6" s="2" t="s">
        <v>26</v>
      </c>
      <c r="B6" s="2" t="s">
        <v>458</v>
      </c>
      <c r="C6" s="2" t="s">
        <v>459</v>
      </c>
      <c r="D6" s="2" t="s">
        <v>456</v>
      </c>
      <c r="E6" s="2" t="s">
        <v>444</v>
      </c>
      <c r="F6" s="2" t="s">
        <v>445</v>
      </c>
      <c r="G6" s="2" t="s">
        <v>924</v>
      </c>
      <c r="H6" s="2" t="s">
        <v>446</v>
      </c>
      <c r="I6" s="2" t="s">
        <v>0</v>
      </c>
      <c r="J6" s="2" t="s">
        <v>0</v>
      </c>
      <c r="K6" s="2" t="s">
        <v>0</v>
      </c>
      <c r="L6" s="2" t="s">
        <v>460</v>
      </c>
      <c r="M6" s="2" t="s">
        <v>27</v>
      </c>
      <c r="N6" s="2" t="s">
        <v>30</v>
      </c>
      <c r="O6" s="2" t="s">
        <v>28</v>
      </c>
      <c r="P6" s="2" t="s">
        <v>29</v>
      </c>
      <c r="Q6" s="2">
        <v>34</v>
      </c>
      <c r="R6" s="2">
        <v>12</v>
      </c>
      <c r="S6" s="2">
        <v>0</v>
      </c>
      <c r="T6" s="2">
        <v>0</v>
      </c>
      <c r="U6" s="2">
        <v>0</v>
      </c>
      <c r="V6" s="2">
        <v>10</v>
      </c>
      <c r="W6" s="2">
        <v>28</v>
      </c>
      <c r="X6" s="2">
        <v>1</v>
      </c>
      <c r="Y6" s="2">
        <v>18</v>
      </c>
      <c r="Z6" s="8" t="s">
        <v>0</v>
      </c>
      <c r="AA6" s="8" t="s">
        <v>0</v>
      </c>
      <c r="AB6" s="8" t="s">
        <v>0</v>
      </c>
      <c r="AC6" s="8" t="s">
        <v>0</v>
      </c>
      <c r="AD6" s="8" t="s">
        <v>0</v>
      </c>
      <c r="AE6" s="8" t="s">
        <v>0</v>
      </c>
      <c r="AF6" s="8" t="s">
        <v>0</v>
      </c>
      <c r="AG6" s="8" t="s">
        <v>0</v>
      </c>
      <c r="AH6" s="8" t="s">
        <v>0</v>
      </c>
      <c r="AI6" s="8" t="s">
        <v>0</v>
      </c>
      <c r="AJ6" s="8" t="s">
        <v>0</v>
      </c>
      <c r="AK6" s="8" t="s">
        <v>0</v>
      </c>
      <c r="AL6" s="8" t="s">
        <v>0</v>
      </c>
      <c r="AM6" s="8" t="s">
        <v>0</v>
      </c>
      <c r="AN6" s="8" t="s">
        <v>0</v>
      </c>
    </row>
    <row r="7" spans="1:40" ht="22.5">
      <c r="A7" s="2" t="s">
        <v>26</v>
      </c>
      <c r="B7" s="2" t="s">
        <v>461</v>
      </c>
      <c r="C7" s="2" t="s">
        <v>462</v>
      </c>
      <c r="D7" s="2" t="s">
        <v>463</v>
      </c>
      <c r="E7" s="2" t="s">
        <v>444</v>
      </c>
      <c r="F7" s="2" t="s">
        <v>445</v>
      </c>
      <c r="G7" s="2" t="s">
        <v>924</v>
      </c>
      <c r="H7" s="2" t="s">
        <v>446</v>
      </c>
      <c r="I7" s="2" t="s">
        <v>0</v>
      </c>
      <c r="J7" s="2" t="s">
        <v>0</v>
      </c>
      <c r="K7" s="2" t="s">
        <v>0</v>
      </c>
      <c r="L7" s="2" t="s">
        <v>464</v>
      </c>
      <c r="M7" s="2" t="s">
        <v>27</v>
      </c>
      <c r="N7" s="2" t="s">
        <v>30</v>
      </c>
      <c r="O7" s="2" t="s">
        <v>28</v>
      </c>
      <c r="P7" s="2" t="s">
        <v>29</v>
      </c>
      <c r="Q7" s="2">
        <v>34</v>
      </c>
      <c r="R7" s="2">
        <v>12</v>
      </c>
      <c r="S7" s="2">
        <v>0</v>
      </c>
      <c r="T7" s="2">
        <v>0</v>
      </c>
      <c r="U7" s="2">
        <v>0</v>
      </c>
      <c r="V7" s="2">
        <v>10</v>
      </c>
      <c r="W7" s="2">
        <v>28</v>
      </c>
      <c r="X7" s="2">
        <v>1</v>
      </c>
      <c r="Y7" s="2">
        <v>18</v>
      </c>
      <c r="Z7" s="8" t="s">
        <v>0</v>
      </c>
      <c r="AA7" s="8" t="s">
        <v>0</v>
      </c>
      <c r="AB7" s="8" t="s">
        <v>0</v>
      </c>
      <c r="AC7" s="8" t="s">
        <v>0</v>
      </c>
      <c r="AD7" s="8" t="s">
        <v>0</v>
      </c>
      <c r="AE7" s="8" t="s">
        <v>0</v>
      </c>
      <c r="AF7" s="8" t="s">
        <v>0</v>
      </c>
      <c r="AG7" s="8" t="s">
        <v>0</v>
      </c>
      <c r="AH7" s="8" t="s">
        <v>0</v>
      </c>
      <c r="AI7" s="8" t="s">
        <v>0</v>
      </c>
      <c r="AJ7" s="8" t="s">
        <v>0</v>
      </c>
      <c r="AK7" s="8" t="s">
        <v>0</v>
      </c>
      <c r="AL7" s="8" t="s">
        <v>0</v>
      </c>
      <c r="AM7" s="8" t="s">
        <v>0</v>
      </c>
      <c r="AN7" s="8" t="s">
        <v>0</v>
      </c>
    </row>
    <row r="8" spans="1:40" ht="22.5">
      <c r="A8" s="2" t="s">
        <v>26</v>
      </c>
      <c r="B8" s="2" t="s">
        <v>465</v>
      </c>
      <c r="C8" s="2" t="s">
        <v>466</v>
      </c>
      <c r="D8" s="2" t="s">
        <v>467</v>
      </c>
      <c r="E8" s="2" t="s">
        <v>444</v>
      </c>
      <c r="F8" s="2" t="s">
        <v>445</v>
      </c>
      <c r="G8" s="2" t="s">
        <v>924</v>
      </c>
      <c r="H8" s="2" t="s">
        <v>446</v>
      </c>
      <c r="I8" s="2" t="s">
        <v>0</v>
      </c>
      <c r="J8" s="2" t="s">
        <v>0</v>
      </c>
      <c r="K8" s="2" t="s">
        <v>0</v>
      </c>
      <c r="L8" s="2" t="s">
        <v>468</v>
      </c>
      <c r="M8" s="2" t="s">
        <v>27</v>
      </c>
      <c r="N8" s="2" t="s">
        <v>30</v>
      </c>
      <c r="O8" s="2" t="s">
        <v>28</v>
      </c>
      <c r="P8" s="2" t="s">
        <v>29</v>
      </c>
      <c r="Q8" s="2">
        <v>34</v>
      </c>
      <c r="R8" s="2">
        <v>12</v>
      </c>
      <c r="S8" s="2">
        <v>0</v>
      </c>
      <c r="T8" s="2">
        <v>0</v>
      </c>
      <c r="U8" s="2">
        <v>0</v>
      </c>
      <c r="V8" s="2">
        <v>10</v>
      </c>
      <c r="W8" s="2">
        <v>28</v>
      </c>
      <c r="X8" s="2">
        <v>1</v>
      </c>
      <c r="Y8" s="2">
        <v>18</v>
      </c>
      <c r="Z8" s="8" t="s">
        <v>0</v>
      </c>
      <c r="AA8" s="8" t="s">
        <v>0</v>
      </c>
      <c r="AB8" s="8" t="s">
        <v>0</v>
      </c>
      <c r="AC8" s="8" t="s">
        <v>0</v>
      </c>
      <c r="AD8" s="8" t="s">
        <v>0</v>
      </c>
      <c r="AE8" s="8" t="s">
        <v>0</v>
      </c>
      <c r="AF8" s="8" t="s">
        <v>0</v>
      </c>
      <c r="AG8" s="8" t="s">
        <v>0</v>
      </c>
      <c r="AH8" s="8" t="s">
        <v>0</v>
      </c>
      <c r="AI8" s="8" t="s">
        <v>0</v>
      </c>
      <c r="AJ8" s="8" t="s">
        <v>0</v>
      </c>
      <c r="AK8" s="8" t="s">
        <v>0</v>
      </c>
      <c r="AL8" s="8" t="s">
        <v>0</v>
      </c>
      <c r="AM8" s="8" t="s">
        <v>0</v>
      </c>
      <c r="AN8" s="8" t="s">
        <v>0</v>
      </c>
    </row>
    <row r="9" spans="1:40" ht="22.5">
      <c r="A9" s="2" t="s">
        <v>26</v>
      </c>
      <c r="B9" s="2" t="s">
        <v>469</v>
      </c>
      <c r="C9" s="2" t="s">
        <v>462</v>
      </c>
      <c r="D9" s="2" t="s">
        <v>470</v>
      </c>
      <c r="E9" s="2" t="s">
        <v>444</v>
      </c>
      <c r="F9" s="2" t="s">
        <v>445</v>
      </c>
      <c r="G9" s="2" t="s">
        <v>924</v>
      </c>
      <c r="H9" s="2" t="s">
        <v>446</v>
      </c>
      <c r="I9" s="2" t="s">
        <v>0</v>
      </c>
      <c r="J9" s="2" t="s">
        <v>0</v>
      </c>
      <c r="K9" s="2" t="s">
        <v>0</v>
      </c>
      <c r="L9" s="2" t="s">
        <v>471</v>
      </c>
      <c r="M9" s="2" t="s">
        <v>27</v>
      </c>
      <c r="N9" s="2" t="s">
        <v>30</v>
      </c>
      <c r="O9" s="2" t="s">
        <v>28</v>
      </c>
      <c r="P9" s="2" t="s">
        <v>29</v>
      </c>
      <c r="Q9" s="2">
        <v>34</v>
      </c>
      <c r="R9" s="2">
        <v>12</v>
      </c>
      <c r="S9" s="2">
        <v>0</v>
      </c>
      <c r="T9" s="2">
        <v>0</v>
      </c>
      <c r="U9" s="2">
        <v>0</v>
      </c>
      <c r="V9" s="2">
        <v>10</v>
      </c>
      <c r="W9" s="2">
        <v>28</v>
      </c>
      <c r="X9" s="2">
        <v>1</v>
      </c>
      <c r="Y9" s="2">
        <v>18</v>
      </c>
      <c r="Z9" s="8" t="s">
        <v>0</v>
      </c>
      <c r="AA9" s="8" t="s">
        <v>0</v>
      </c>
      <c r="AB9" s="8" t="s">
        <v>0</v>
      </c>
      <c r="AC9" s="8" t="s">
        <v>0</v>
      </c>
      <c r="AD9" s="8" t="s">
        <v>0</v>
      </c>
      <c r="AE9" s="8" t="s">
        <v>0</v>
      </c>
      <c r="AF9" s="8" t="s">
        <v>0</v>
      </c>
      <c r="AG9" s="8" t="s">
        <v>0</v>
      </c>
      <c r="AH9" s="8" t="s">
        <v>0</v>
      </c>
      <c r="AI9" s="8" t="s">
        <v>0</v>
      </c>
      <c r="AJ9" s="8" t="s">
        <v>0</v>
      </c>
      <c r="AK9" s="8" t="s">
        <v>0</v>
      </c>
      <c r="AL9" s="8" t="s">
        <v>0</v>
      </c>
      <c r="AM9" s="8" t="s">
        <v>0</v>
      </c>
      <c r="AN9" s="8" t="s">
        <v>0</v>
      </c>
    </row>
    <row r="10" spans="1:40" ht="22.5">
      <c r="A10" s="2" t="s">
        <v>26</v>
      </c>
      <c r="B10" s="2" t="s">
        <v>472</v>
      </c>
      <c r="C10" s="2" t="s">
        <v>473</v>
      </c>
      <c r="D10" s="2" t="s">
        <v>474</v>
      </c>
      <c r="E10" s="2" t="s">
        <v>444</v>
      </c>
      <c r="F10" s="2" t="s">
        <v>445</v>
      </c>
      <c r="G10" s="2" t="s">
        <v>924</v>
      </c>
      <c r="H10" s="2" t="s">
        <v>446</v>
      </c>
      <c r="I10" s="2" t="s">
        <v>0</v>
      </c>
      <c r="J10" s="2" t="s">
        <v>0</v>
      </c>
      <c r="K10" s="2" t="s">
        <v>0</v>
      </c>
      <c r="L10" s="2" t="s">
        <v>475</v>
      </c>
      <c r="M10" s="2" t="s">
        <v>27</v>
      </c>
      <c r="N10" s="2" t="s">
        <v>30</v>
      </c>
      <c r="O10" s="2" t="s">
        <v>28</v>
      </c>
      <c r="P10" s="2" t="s">
        <v>29</v>
      </c>
      <c r="Q10" s="2">
        <v>34</v>
      </c>
      <c r="R10" s="2">
        <v>12</v>
      </c>
      <c r="S10" s="2">
        <v>0</v>
      </c>
      <c r="T10" s="2">
        <v>0</v>
      </c>
      <c r="U10" s="2">
        <v>0</v>
      </c>
      <c r="V10" s="2">
        <v>10</v>
      </c>
      <c r="W10" s="2">
        <v>28</v>
      </c>
      <c r="X10" s="2">
        <v>1</v>
      </c>
      <c r="Y10" s="2">
        <v>18</v>
      </c>
      <c r="Z10" s="8" t="s">
        <v>0</v>
      </c>
      <c r="AA10" s="8" t="s">
        <v>0</v>
      </c>
      <c r="AB10" s="8" t="s">
        <v>0</v>
      </c>
      <c r="AC10" s="8" t="s">
        <v>0</v>
      </c>
      <c r="AD10" s="8" t="s">
        <v>0</v>
      </c>
      <c r="AE10" s="8" t="s">
        <v>0</v>
      </c>
      <c r="AF10" s="8" t="s">
        <v>0</v>
      </c>
      <c r="AG10" s="8" t="s">
        <v>0</v>
      </c>
      <c r="AH10" s="8" t="s">
        <v>0</v>
      </c>
      <c r="AI10" s="8" t="s">
        <v>0</v>
      </c>
      <c r="AJ10" s="8" t="s">
        <v>0</v>
      </c>
      <c r="AK10" s="8" t="s">
        <v>0</v>
      </c>
      <c r="AL10" s="8" t="s">
        <v>0</v>
      </c>
      <c r="AM10" s="8" t="s">
        <v>0</v>
      </c>
      <c r="AN10" s="8" t="s">
        <v>0</v>
      </c>
    </row>
    <row r="11" spans="1:40" ht="22.5">
      <c r="A11" s="2" t="s">
        <v>26</v>
      </c>
      <c r="B11" s="2" t="s">
        <v>476</v>
      </c>
      <c r="C11" s="2" t="s">
        <v>477</v>
      </c>
      <c r="D11" s="2" t="s">
        <v>474</v>
      </c>
      <c r="E11" s="2" t="s">
        <v>444</v>
      </c>
      <c r="F11" s="2" t="s">
        <v>445</v>
      </c>
      <c r="G11" s="2" t="s">
        <v>924</v>
      </c>
      <c r="H11" s="2" t="s">
        <v>446</v>
      </c>
      <c r="I11" s="2" t="s">
        <v>0</v>
      </c>
      <c r="J11" s="2" t="s">
        <v>0</v>
      </c>
      <c r="K11" s="2" t="s">
        <v>0</v>
      </c>
      <c r="L11" s="2" t="s">
        <v>478</v>
      </c>
      <c r="M11" s="2" t="s">
        <v>27</v>
      </c>
      <c r="N11" s="2" t="s">
        <v>30</v>
      </c>
      <c r="O11" s="2" t="s">
        <v>28</v>
      </c>
      <c r="P11" s="2" t="s">
        <v>29</v>
      </c>
      <c r="Q11" s="2">
        <v>34</v>
      </c>
      <c r="R11" s="2">
        <v>12</v>
      </c>
      <c r="S11" s="2">
        <v>0</v>
      </c>
      <c r="T11" s="2">
        <v>0</v>
      </c>
      <c r="U11" s="2">
        <v>0</v>
      </c>
      <c r="V11" s="2">
        <v>10</v>
      </c>
      <c r="W11" s="2">
        <v>28</v>
      </c>
      <c r="X11" s="2">
        <v>1</v>
      </c>
      <c r="Y11" s="2">
        <v>18</v>
      </c>
      <c r="Z11" s="8" t="s">
        <v>0</v>
      </c>
      <c r="AA11" s="8" t="s">
        <v>0</v>
      </c>
      <c r="AB11" s="8" t="s">
        <v>0</v>
      </c>
      <c r="AC11" s="8" t="s">
        <v>0</v>
      </c>
      <c r="AD11" s="8" t="s">
        <v>0</v>
      </c>
      <c r="AE11" s="8" t="s">
        <v>0</v>
      </c>
      <c r="AF11" s="8" t="s">
        <v>0</v>
      </c>
      <c r="AG11" s="8" t="s">
        <v>0</v>
      </c>
      <c r="AH11" s="8" t="s">
        <v>0</v>
      </c>
      <c r="AI11" s="8" t="s">
        <v>0</v>
      </c>
      <c r="AJ11" s="8" t="s">
        <v>0</v>
      </c>
      <c r="AK11" s="8" t="s">
        <v>0</v>
      </c>
      <c r="AL11" s="8" t="s">
        <v>0</v>
      </c>
      <c r="AM11" s="8" t="s">
        <v>0</v>
      </c>
      <c r="AN11" s="8" t="s">
        <v>0</v>
      </c>
    </row>
    <row r="12" spans="1:40" ht="22.5">
      <c r="A12" s="2" t="s">
        <v>26</v>
      </c>
      <c r="B12" s="2" t="s">
        <v>479</v>
      </c>
      <c r="C12" s="2" t="s">
        <v>449</v>
      </c>
      <c r="D12" s="2" t="s">
        <v>480</v>
      </c>
      <c r="E12" s="2" t="s">
        <v>444</v>
      </c>
      <c r="F12" s="2" t="s">
        <v>445</v>
      </c>
      <c r="G12" s="2" t="s">
        <v>924</v>
      </c>
      <c r="H12" s="2" t="s">
        <v>481</v>
      </c>
      <c r="I12" s="2" t="s">
        <v>0</v>
      </c>
      <c r="J12" s="2" t="s">
        <v>0</v>
      </c>
      <c r="K12" s="2" t="s">
        <v>0</v>
      </c>
      <c r="L12" s="2" t="s">
        <v>482</v>
      </c>
      <c r="M12" s="2" t="s">
        <v>27</v>
      </c>
      <c r="N12" s="2" t="s">
        <v>30</v>
      </c>
      <c r="O12" s="2" t="s">
        <v>28</v>
      </c>
      <c r="P12" s="2" t="s">
        <v>29</v>
      </c>
      <c r="Q12" s="2">
        <v>34</v>
      </c>
      <c r="R12" s="2">
        <v>12</v>
      </c>
      <c r="S12" s="2">
        <v>0</v>
      </c>
      <c r="T12" s="2">
        <v>0</v>
      </c>
      <c r="U12" s="2">
        <v>0</v>
      </c>
      <c r="V12" s="2">
        <v>10</v>
      </c>
      <c r="W12" s="2">
        <v>28</v>
      </c>
      <c r="X12" s="2">
        <v>1</v>
      </c>
      <c r="Y12" s="2">
        <v>18</v>
      </c>
      <c r="Z12" s="8" t="s">
        <v>0</v>
      </c>
      <c r="AA12" s="8" t="s">
        <v>0</v>
      </c>
      <c r="AB12" s="8" t="s">
        <v>0</v>
      </c>
      <c r="AC12" s="8" t="s">
        <v>0</v>
      </c>
      <c r="AD12" s="8" t="s">
        <v>0</v>
      </c>
      <c r="AE12" s="8" t="s">
        <v>0</v>
      </c>
      <c r="AF12" s="8" t="s">
        <v>0</v>
      </c>
      <c r="AG12" s="8" t="s">
        <v>0</v>
      </c>
      <c r="AH12" s="8" t="s">
        <v>0</v>
      </c>
      <c r="AI12" s="8" t="s">
        <v>0</v>
      </c>
      <c r="AJ12" s="8" t="s">
        <v>0</v>
      </c>
      <c r="AK12" s="8" t="s">
        <v>0</v>
      </c>
      <c r="AL12" s="8" t="s">
        <v>0</v>
      </c>
      <c r="AM12" s="8" t="s">
        <v>0</v>
      </c>
      <c r="AN12" s="8" t="s">
        <v>0</v>
      </c>
    </row>
    <row r="13" spans="1:40" ht="22.5">
      <c r="A13" s="2" t="s">
        <v>26</v>
      </c>
      <c r="B13" s="2" t="s">
        <v>483</v>
      </c>
      <c r="C13" s="2" t="s">
        <v>484</v>
      </c>
      <c r="D13" s="2" t="s">
        <v>456</v>
      </c>
      <c r="E13" s="2" t="s">
        <v>444</v>
      </c>
      <c r="F13" s="2" t="s">
        <v>445</v>
      </c>
      <c r="G13" s="2" t="s">
        <v>924</v>
      </c>
      <c r="H13" s="2" t="s">
        <v>481</v>
      </c>
      <c r="I13" s="2" t="s">
        <v>0</v>
      </c>
      <c r="J13" s="2" t="s">
        <v>0</v>
      </c>
      <c r="K13" s="2" t="s">
        <v>0</v>
      </c>
      <c r="L13" s="2" t="s">
        <v>485</v>
      </c>
      <c r="M13" s="2" t="s">
        <v>27</v>
      </c>
      <c r="N13" s="2" t="s">
        <v>30</v>
      </c>
      <c r="O13" s="2" t="s">
        <v>28</v>
      </c>
      <c r="P13" s="2" t="s">
        <v>29</v>
      </c>
      <c r="Q13" s="2">
        <v>34</v>
      </c>
      <c r="R13" s="2">
        <v>12</v>
      </c>
      <c r="S13" s="2">
        <v>0</v>
      </c>
      <c r="T13" s="2">
        <v>0</v>
      </c>
      <c r="U13" s="2">
        <v>0</v>
      </c>
      <c r="V13" s="2">
        <v>10</v>
      </c>
      <c r="W13" s="2">
        <v>28</v>
      </c>
      <c r="X13" s="2">
        <v>1</v>
      </c>
      <c r="Y13" s="2">
        <v>18</v>
      </c>
      <c r="Z13" s="8" t="s">
        <v>0</v>
      </c>
      <c r="AA13" s="8" t="s">
        <v>0</v>
      </c>
      <c r="AB13" s="8" t="s">
        <v>0</v>
      </c>
      <c r="AC13" s="8" t="s">
        <v>0</v>
      </c>
      <c r="AD13" s="8" t="s">
        <v>0</v>
      </c>
      <c r="AE13" s="8" t="s">
        <v>0</v>
      </c>
      <c r="AF13" s="8" t="s">
        <v>0</v>
      </c>
      <c r="AG13" s="8" t="s">
        <v>0</v>
      </c>
      <c r="AH13" s="8" t="s">
        <v>0</v>
      </c>
      <c r="AI13" s="8" t="s">
        <v>0</v>
      </c>
      <c r="AJ13" s="8" t="s">
        <v>0</v>
      </c>
      <c r="AK13" s="8" t="s">
        <v>0</v>
      </c>
      <c r="AL13" s="8" t="s">
        <v>0</v>
      </c>
      <c r="AM13" s="8" t="s">
        <v>0</v>
      </c>
      <c r="AN13" s="8" t="s">
        <v>0</v>
      </c>
    </row>
    <row r="14" spans="1:40" ht="22.5">
      <c r="A14" s="2" t="s">
        <v>26</v>
      </c>
      <c r="B14" s="2" t="s">
        <v>486</v>
      </c>
      <c r="C14" s="2" t="s">
        <v>442</v>
      </c>
      <c r="D14" s="2" t="s">
        <v>456</v>
      </c>
      <c r="E14" s="2" t="s">
        <v>444</v>
      </c>
      <c r="F14" s="2" t="s">
        <v>445</v>
      </c>
      <c r="G14" s="2" t="s">
        <v>924</v>
      </c>
      <c r="H14" s="2" t="s">
        <v>481</v>
      </c>
      <c r="I14" s="2" t="s">
        <v>0</v>
      </c>
      <c r="J14" s="2" t="s">
        <v>0</v>
      </c>
      <c r="K14" s="2" t="s">
        <v>0</v>
      </c>
      <c r="L14" s="2" t="s">
        <v>487</v>
      </c>
      <c r="M14" s="2" t="s">
        <v>27</v>
      </c>
      <c r="N14" s="2" t="s">
        <v>30</v>
      </c>
      <c r="O14" s="2" t="s">
        <v>28</v>
      </c>
      <c r="P14" s="2" t="s">
        <v>29</v>
      </c>
      <c r="Q14" s="2">
        <v>34</v>
      </c>
      <c r="R14" s="2">
        <v>12</v>
      </c>
      <c r="S14" s="2">
        <v>0</v>
      </c>
      <c r="T14" s="2">
        <v>0</v>
      </c>
      <c r="U14" s="2">
        <v>0</v>
      </c>
      <c r="V14" s="2">
        <v>10</v>
      </c>
      <c r="W14" s="2">
        <v>28</v>
      </c>
      <c r="X14" s="2">
        <v>1</v>
      </c>
      <c r="Y14" s="2">
        <v>18</v>
      </c>
      <c r="Z14" s="8" t="s">
        <v>0</v>
      </c>
      <c r="AA14" s="8" t="s">
        <v>0</v>
      </c>
      <c r="AB14" s="8" t="s">
        <v>0</v>
      </c>
      <c r="AC14" s="8" t="s">
        <v>0</v>
      </c>
      <c r="AD14" s="8" t="s">
        <v>0</v>
      </c>
      <c r="AE14" s="8" t="s">
        <v>0</v>
      </c>
      <c r="AF14" s="8" t="s">
        <v>0</v>
      </c>
      <c r="AG14" s="8" t="s">
        <v>0</v>
      </c>
      <c r="AH14" s="8" t="s">
        <v>0</v>
      </c>
      <c r="AI14" s="8" t="s">
        <v>0</v>
      </c>
      <c r="AJ14" s="8" t="s">
        <v>0</v>
      </c>
      <c r="AK14" s="8" t="s">
        <v>0</v>
      </c>
      <c r="AL14" s="8" t="s">
        <v>0</v>
      </c>
      <c r="AM14" s="8" t="s">
        <v>0</v>
      </c>
      <c r="AN14" s="8" t="s">
        <v>0</v>
      </c>
    </row>
    <row r="15" spans="1:40" ht="22.5">
      <c r="A15" s="2" t="s">
        <v>26</v>
      </c>
      <c r="B15" s="2" t="s">
        <v>488</v>
      </c>
      <c r="C15" s="2" t="s">
        <v>484</v>
      </c>
      <c r="D15" s="2" t="s">
        <v>489</v>
      </c>
      <c r="E15" s="2" t="s">
        <v>444</v>
      </c>
      <c r="F15" s="2" t="s">
        <v>445</v>
      </c>
      <c r="G15" s="2" t="s">
        <v>924</v>
      </c>
      <c r="H15" s="2" t="s">
        <v>481</v>
      </c>
      <c r="I15" s="2" t="s">
        <v>0</v>
      </c>
      <c r="J15" s="2" t="s">
        <v>0</v>
      </c>
      <c r="K15" s="2" t="s">
        <v>0</v>
      </c>
      <c r="L15" s="2" t="s">
        <v>490</v>
      </c>
      <c r="M15" s="2" t="s">
        <v>27</v>
      </c>
      <c r="N15" s="2" t="s">
        <v>30</v>
      </c>
      <c r="O15" s="2" t="s">
        <v>28</v>
      </c>
      <c r="P15" s="2" t="s">
        <v>29</v>
      </c>
      <c r="Q15" s="2">
        <v>34</v>
      </c>
      <c r="R15" s="2">
        <v>12</v>
      </c>
      <c r="S15" s="2">
        <v>0</v>
      </c>
      <c r="T15" s="2">
        <v>0</v>
      </c>
      <c r="U15" s="2">
        <v>0</v>
      </c>
      <c r="V15" s="2">
        <v>10</v>
      </c>
      <c r="W15" s="2">
        <v>28</v>
      </c>
      <c r="X15" s="2">
        <v>1</v>
      </c>
      <c r="Y15" s="2">
        <v>18</v>
      </c>
      <c r="Z15" s="8" t="s">
        <v>0</v>
      </c>
      <c r="AA15" s="8" t="s">
        <v>0</v>
      </c>
      <c r="AB15" s="8" t="s">
        <v>0</v>
      </c>
      <c r="AC15" s="8" t="s">
        <v>0</v>
      </c>
      <c r="AD15" s="8" t="s">
        <v>0</v>
      </c>
      <c r="AE15" s="8" t="s">
        <v>0</v>
      </c>
      <c r="AF15" s="8" t="s">
        <v>0</v>
      </c>
      <c r="AG15" s="8" t="s">
        <v>0</v>
      </c>
      <c r="AH15" s="8" t="s">
        <v>0</v>
      </c>
      <c r="AI15" s="8" t="s">
        <v>0</v>
      </c>
      <c r="AJ15" s="8" t="s">
        <v>0</v>
      </c>
      <c r="AK15" s="8" t="s">
        <v>0</v>
      </c>
      <c r="AL15" s="8" t="s">
        <v>0</v>
      </c>
      <c r="AM15" s="8" t="s">
        <v>0</v>
      </c>
      <c r="AN15" s="8" t="s">
        <v>0</v>
      </c>
    </row>
    <row r="16" spans="1:40" ht="22.5">
      <c r="A16" s="2" t="s">
        <v>121</v>
      </c>
      <c r="B16" s="2" t="s">
        <v>491</v>
      </c>
      <c r="C16" s="2" t="s">
        <v>442</v>
      </c>
      <c r="D16" s="2" t="s">
        <v>492</v>
      </c>
      <c r="E16" s="2" t="s">
        <v>444</v>
      </c>
      <c r="F16" s="2" t="s">
        <v>445</v>
      </c>
      <c r="G16" s="2" t="s">
        <v>924</v>
      </c>
      <c r="H16" s="2" t="s">
        <v>481</v>
      </c>
      <c r="I16" s="2" t="s">
        <v>0</v>
      </c>
      <c r="J16" s="2" t="s">
        <v>0</v>
      </c>
      <c r="K16" s="2" t="s">
        <v>0</v>
      </c>
      <c r="L16" s="2" t="s">
        <v>493</v>
      </c>
      <c r="M16" s="2" t="s">
        <v>27</v>
      </c>
      <c r="N16" s="2" t="s">
        <v>30</v>
      </c>
      <c r="O16" s="2" t="s">
        <v>28</v>
      </c>
      <c r="P16" s="2" t="s">
        <v>29</v>
      </c>
      <c r="Q16" s="2">
        <v>34</v>
      </c>
      <c r="R16" s="2">
        <v>12</v>
      </c>
      <c r="S16" s="2">
        <v>0</v>
      </c>
      <c r="T16" s="2">
        <v>0</v>
      </c>
      <c r="U16" s="2">
        <v>0</v>
      </c>
      <c r="V16" s="2">
        <v>10</v>
      </c>
      <c r="W16" s="2">
        <v>28</v>
      </c>
      <c r="X16" s="2">
        <v>1</v>
      </c>
      <c r="Y16" s="2">
        <v>18</v>
      </c>
      <c r="Z16" s="8" t="s">
        <v>0</v>
      </c>
      <c r="AA16" s="8" t="s">
        <v>0</v>
      </c>
      <c r="AB16" s="8" t="s">
        <v>0</v>
      </c>
      <c r="AC16" s="8" t="s">
        <v>0</v>
      </c>
      <c r="AD16" s="8" t="s">
        <v>0</v>
      </c>
      <c r="AE16" s="8" t="s">
        <v>0</v>
      </c>
      <c r="AF16" s="8" t="s">
        <v>0</v>
      </c>
      <c r="AG16" s="8" t="s">
        <v>0</v>
      </c>
      <c r="AH16" s="8" t="s">
        <v>0</v>
      </c>
      <c r="AI16" s="8" t="s">
        <v>0</v>
      </c>
      <c r="AJ16" s="8" t="s">
        <v>0</v>
      </c>
      <c r="AK16" s="8" t="s">
        <v>0</v>
      </c>
      <c r="AL16" s="8" t="s">
        <v>0</v>
      </c>
      <c r="AM16" s="8" t="s">
        <v>0</v>
      </c>
      <c r="AN16" s="8" t="s">
        <v>0</v>
      </c>
    </row>
    <row r="17" spans="1:40" ht="22.5">
      <c r="A17" s="2" t="s">
        <v>26</v>
      </c>
      <c r="B17" s="2" t="s">
        <v>494</v>
      </c>
      <c r="C17" s="2" t="s">
        <v>495</v>
      </c>
      <c r="D17" s="2" t="s">
        <v>496</v>
      </c>
      <c r="E17" s="2" t="s">
        <v>444</v>
      </c>
      <c r="F17" s="2" t="s">
        <v>445</v>
      </c>
      <c r="G17" s="2" t="s">
        <v>924</v>
      </c>
      <c r="H17" s="2" t="s">
        <v>481</v>
      </c>
      <c r="I17" s="2" t="s">
        <v>0</v>
      </c>
      <c r="J17" s="2" t="s">
        <v>0</v>
      </c>
      <c r="K17" s="2" t="s">
        <v>0</v>
      </c>
      <c r="L17" s="2" t="s">
        <v>497</v>
      </c>
      <c r="M17" s="2" t="s">
        <v>27</v>
      </c>
      <c r="N17" s="2" t="s">
        <v>30</v>
      </c>
      <c r="O17" s="2" t="s">
        <v>28</v>
      </c>
      <c r="P17" s="2" t="s">
        <v>29</v>
      </c>
      <c r="Q17" s="2">
        <v>34</v>
      </c>
      <c r="R17" s="2">
        <v>12</v>
      </c>
      <c r="S17" s="2">
        <v>0</v>
      </c>
      <c r="T17" s="2">
        <v>0</v>
      </c>
      <c r="U17" s="2">
        <v>0</v>
      </c>
      <c r="V17" s="2">
        <v>10</v>
      </c>
      <c r="W17" s="2">
        <v>28</v>
      </c>
      <c r="X17" s="2">
        <v>1</v>
      </c>
      <c r="Y17" s="2">
        <v>18</v>
      </c>
      <c r="Z17" s="8" t="s">
        <v>0</v>
      </c>
      <c r="AA17" s="8" t="s">
        <v>0</v>
      </c>
      <c r="AB17" s="8" t="s">
        <v>0</v>
      </c>
      <c r="AC17" s="8" t="s">
        <v>0</v>
      </c>
      <c r="AD17" s="8" t="s">
        <v>0</v>
      </c>
      <c r="AE17" s="8" t="s">
        <v>0</v>
      </c>
      <c r="AF17" s="8" t="s">
        <v>0</v>
      </c>
      <c r="AG17" s="8" t="s">
        <v>0</v>
      </c>
      <c r="AH17" s="8" t="s">
        <v>0</v>
      </c>
      <c r="AI17" s="8" t="s">
        <v>0</v>
      </c>
      <c r="AJ17" s="8" t="s">
        <v>0</v>
      </c>
      <c r="AK17" s="8" t="s">
        <v>0</v>
      </c>
      <c r="AL17" s="8" t="s">
        <v>0</v>
      </c>
      <c r="AM17" s="8" t="s">
        <v>0</v>
      </c>
      <c r="AN17" s="8" t="s">
        <v>0</v>
      </c>
    </row>
    <row r="18" spans="1:40" ht="22.5">
      <c r="A18" s="2" t="s">
        <v>26</v>
      </c>
      <c r="B18" s="2" t="s">
        <v>498</v>
      </c>
      <c r="C18" s="2" t="s">
        <v>499</v>
      </c>
      <c r="D18" s="2" t="s">
        <v>500</v>
      </c>
      <c r="E18" s="2" t="s">
        <v>444</v>
      </c>
      <c r="F18" s="2" t="s">
        <v>445</v>
      </c>
      <c r="G18" s="2" t="s">
        <v>924</v>
      </c>
      <c r="H18" s="2" t="s">
        <v>481</v>
      </c>
      <c r="I18" s="2" t="s">
        <v>0</v>
      </c>
      <c r="J18" s="2" t="s">
        <v>0</v>
      </c>
      <c r="K18" s="2" t="s">
        <v>0</v>
      </c>
      <c r="L18" s="2" t="s">
        <v>501</v>
      </c>
      <c r="M18" s="2" t="s">
        <v>27</v>
      </c>
      <c r="N18" s="2" t="s">
        <v>30</v>
      </c>
      <c r="O18" s="2" t="s">
        <v>28</v>
      </c>
      <c r="P18" s="2" t="s">
        <v>29</v>
      </c>
      <c r="Q18" s="2">
        <v>34</v>
      </c>
      <c r="R18" s="2">
        <v>12</v>
      </c>
      <c r="S18" s="2">
        <v>0</v>
      </c>
      <c r="T18" s="2">
        <v>0</v>
      </c>
      <c r="U18" s="2">
        <v>0</v>
      </c>
      <c r="V18" s="2">
        <v>10</v>
      </c>
      <c r="W18" s="2">
        <v>28</v>
      </c>
      <c r="X18" s="2">
        <v>1</v>
      </c>
      <c r="Y18" s="2">
        <v>18</v>
      </c>
      <c r="Z18" s="8" t="s">
        <v>0</v>
      </c>
      <c r="AA18" s="8" t="s">
        <v>0</v>
      </c>
      <c r="AB18" s="8" t="s">
        <v>0</v>
      </c>
      <c r="AC18" s="8" t="s">
        <v>0</v>
      </c>
      <c r="AD18" s="8" t="s">
        <v>0</v>
      </c>
      <c r="AE18" s="8" t="s">
        <v>0</v>
      </c>
      <c r="AF18" s="8" t="s">
        <v>0</v>
      </c>
      <c r="AG18" s="8" t="s">
        <v>0</v>
      </c>
      <c r="AH18" s="8" t="s">
        <v>0</v>
      </c>
      <c r="AI18" s="8" t="s">
        <v>0</v>
      </c>
      <c r="AJ18" s="8" t="s">
        <v>0</v>
      </c>
      <c r="AK18" s="8" t="s">
        <v>0</v>
      </c>
      <c r="AL18" s="8" t="s">
        <v>0</v>
      </c>
      <c r="AM18" s="8" t="s">
        <v>0</v>
      </c>
      <c r="AN18" s="8" t="s">
        <v>0</v>
      </c>
    </row>
    <row r="19" spans="1:40" ht="22.5">
      <c r="A19" s="2" t="s">
        <v>26</v>
      </c>
      <c r="B19" s="2" t="s">
        <v>502</v>
      </c>
      <c r="C19" s="2" t="s">
        <v>473</v>
      </c>
      <c r="D19" s="2" t="s">
        <v>503</v>
      </c>
      <c r="E19" s="2" t="s">
        <v>444</v>
      </c>
      <c r="F19" s="2" t="s">
        <v>445</v>
      </c>
      <c r="G19" s="2" t="s">
        <v>924</v>
      </c>
      <c r="H19" s="2" t="s">
        <v>504</v>
      </c>
      <c r="I19" s="2" t="s">
        <v>0</v>
      </c>
      <c r="J19" s="2" t="s">
        <v>0</v>
      </c>
      <c r="K19" s="2" t="s">
        <v>0</v>
      </c>
      <c r="L19" s="2" t="s">
        <v>505</v>
      </c>
      <c r="M19" s="2" t="s">
        <v>27</v>
      </c>
      <c r="N19" s="2" t="s">
        <v>30</v>
      </c>
      <c r="O19" s="2" t="s">
        <v>28</v>
      </c>
      <c r="P19" s="2" t="s">
        <v>29</v>
      </c>
      <c r="Q19" s="2">
        <v>34</v>
      </c>
      <c r="R19" s="2">
        <v>12</v>
      </c>
      <c r="S19" s="2">
        <v>0</v>
      </c>
      <c r="T19" s="2">
        <v>0</v>
      </c>
      <c r="U19" s="2">
        <v>0</v>
      </c>
      <c r="V19" s="2">
        <v>10</v>
      </c>
      <c r="W19" s="2">
        <v>28</v>
      </c>
      <c r="X19" s="2">
        <v>1</v>
      </c>
      <c r="Y19" s="2">
        <v>18</v>
      </c>
      <c r="Z19" s="8" t="s">
        <v>0</v>
      </c>
      <c r="AA19" s="8" t="s">
        <v>0</v>
      </c>
      <c r="AB19" s="8" t="s">
        <v>0</v>
      </c>
      <c r="AC19" s="8" t="s">
        <v>0</v>
      </c>
      <c r="AD19" s="8" t="s">
        <v>0</v>
      </c>
      <c r="AE19" s="8" t="s">
        <v>0</v>
      </c>
      <c r="AF19" s="8" t="s">
        <v>0</v>
      </c>
      <c r="AG19" s="8" t="s">
        <v>0</v>
      </c>
      <c r="AH19" s="8" t="s">
        <v>0</v>
      </c>
      <c r="AI19" s="8" t="s">
        <v>0</v>
      </c>
      <c r="AJ19" s="8" t="s">
        <v>0</v>
      </c>
      <c r="AK19" s="8" t="s">
        <v>0</v>
      </c>
      <c r="AL19" s="8" t="s">
        <v>0</v>
      </c>
      <c r="AM19" s="8" t="s">
        <v>0</v>
      </c>
      <c r="AN19" s="8" t="s">
        <v>0</v>
      </c>
    </row>
    <row r="20" spans="1:40" ht="33.75">
      <c r="A20" s="2" t="s">
        <v>26</v>
      </c>
      <c r="B20" s="2" t="s">
        <v>506</v>
      </c>
      <c r="C20" s="2" t="s">
        <v>507</v>
      </c>
      <c r="D20" s="2" t="s">
        <v>503</v>
      </c>
      <c r="E20" s="2" t="s">
        <v>444</v>
      </c>
      <c r="F20" s="2" t="s">
        <v>445</v>
      </c>
      <c r="G20" s="2" t="s">
        <v>924</v>
      </c>
      <c r="H20" s="2" t="s">
        <v>504</v>
      </c>
      <c r="I20" s="2" t="s">
        <v>0</v>
      </c>
      <c r="J20" s="2" t="s">
        <v>0</v>
      </c>
      <c r="K20" s="2" t="s">
        <v>0</v>
      </c>
      <c r="L20" s="2" t="s">
        <v>508</v>
      </c>
      <c r="M20" s="2" t="s">
        <v>27</v>
      </c>
      <c r="N20" s="2" t="s">
        <v>30</v>
      </c>
      <c r="O20" s="2" t="s">
        <v>28</v>
      </c>
      <c r="P20" s="2" t="s">
        <v>29</v>
      </c>
      <c r="Q20" s="2">
        <v>34</v>
      </c>
      <c r="R20" s="2">
        <v>12</v>
      </c>
      <c r="S20" s="2">
        <v>0</v>
      </c>
      <c r="T20" s="2">
        <v>0</v>
      </c>
      <c r="U20" s="2">
        <v>0</v>
      </c>
      <c r="V20" s="2">
        <v>10</v>
      </c>
      <c r="W20" s="2">
        <v>28</v>
      </c>
      <c r="X20" s="2">
        <v>1</v>
      </c>
      <c r="Y20" s="2">
        <v>18</v>
      </c>
      <c r="Z20" s="8" t="s">
        <v>0</v>
      </c>
      <c r="AA20" s="8" t="s">
        <v>0</v>
      </c>
      <c r="AB20" s="8" t="s">
        <v>0</v>
      </c>
      <c r="AC20" s="8" t="s">
        <v>0</v>
      </c>
      <c r="AD20" s="8" t="s">
        <v>0</v>
      </c>
      <c r="AE20" s="8" t="s">
        <v>0</v>
      </c>
      <c r="AF20" s="8" t="s">
        <v>0</v>
      </c>
      <c r="AG20" s="8" t="s">
        <v>0</v>
      </c>
      <c r="AH20" s="8" t="s">
        <v>0</v>
      </c>
      <c r="AI20" s="8" t="s">
        <v>0</v>
      </c>
      <c r="AJ20" s="8" t="s">
        <v>0</v>
      </c>
      <c r="AK20" s="8" t="s">
        <v>0</v>
      </c>
      <c r="AL20" s="8" t="s">
        <v>0</v>
      </c>
      <c r="AM20" s="8" t="s">
        <v>0</v>
      </c>
      <c r="AN20" s="8" t="s">
        <v>0</v>
      </c>
    </row>
    <row r="21" spans="1:40" ht="22.5">
      <c r="A21" s="2" t="s">
        <v>26</v>
      </c>
      <c r="B21" s="2" t="s">
        <v>509</v>
      </c>
      <c r="C21" s="2" t="s">
        <v>510</v>
      </c>
      <c r="D21" s="2" t="s">
        <v>503</v>
      </c>
      <c r="E21" s="2" t="s">
        <v>444</v>
      </c>
      <c r="F21" s="2" t="s">
        <v>445</v>
      </c>
      <c r="G21" s="2" t="s">
        <v>924</v>
      </c>
      <c r="H21" s="2" t="s">
        <v>504</v>
      </c>
      <c r="I21" s="2" t="s">
        <v>0</v>
      </c>
      <c r="J21" s="2" t="s">
        <v>0</v>
      </c>
      <c r="K21" s="2" t="s">
        <v>0</v>
      </c>
      <c r="L21" s="2" t="s">
        <v>511</v>
      </c>
      <c r="M21" s="2" t="s">
        <v>27</v>
      </c>
      <c r="N21" s="2" t="s">
        <v>30</v>
      </c>
      <c r="O21" s="2" t="s">
        <v>28</v>
      </c>
      <c r="P21" s="2" t="s">
        <v>29</v>
      </c>
      <c r="Q21" s="2">
        <v>34</v>
      </c>
      <c r="R21" s="2">
        <v>12</v>
      </c>
      <c r="S21" s="2">
        <v>0</v>
      </c>
      <c r="T21" s="2">
        <v>0</v>
      </c>
      <c r="U21" s="2">
        <v>0</v>
      </c>
      <c r="V21" s="2">
        <v>10</v>
      </c>
      <c r="W21" s="2">
        <v>28</v>
      </c>
      <c r="X21" s="2">
        <v>1</v>
      </c>
      <c r="Y21" s="2">
        <v>18</v>
      </c>
      <c r="Z21" s="8" t="s">
        <v>0</v>
      </c>
      <c r="AA21" s="8" t="s">
        <v>0</v>
      </c>
      <c r="AB21" s="8" t="s">
        <v>0</v>
      </c>
      <c r="AC21" s="8" t="s">
        <v>0</v>
      </c>
      <c r="AD21" s="8" t="s">
        <v>0</v>
      </c>
      <c r="AE21" s="8" t="s">
        <v>0</v>
      </c>
      <c r="AF21" s="8" t="s">
        <v>0</v>
      </c>
      <c r="AG21" s="8" t="s">
        <v>0</v>
      </c>
      <c r="AH21" s="8" t="s">
        <v>0</v>
      </c>
      <c r="AI21" s="8" t="s">
        <v>0</v>
      </c>
      <c r="AJ21" s="8" t="s">
        <v>0</v>
      </c>
      <c r="AK21" s="8" t="s">
        <v>0</v>
      </c>
      <c r="AL21" s="8" t="s">
        <v>0</v>
      </c>
      <c r="AM21" s="8" t="s">
        <v>0</v>
      </c>
      <c r="AN21" s="8" t="s">
        <v>0</v>
      </c>
    </row>
    <row r="22" spans="1:40" ht="22.5">
      <c r="A22" s="2" t="s">
        <v>121</v>
      </c>
      <c r="B22" s="2" t="s">
        <v>512</v>
      </c>
      <c r="C22" s="2" t="s">
        <v>462</v>
      </c>
      <c r="D22" s="2" t="s">
        <v>513</v>
      </c>
      <c r="E22" s="2" t="s">
        <v>444</v>
      </c>
      <c r="F22" s="2" t="s">
        <v>445</v>
      </c>
      <c r="G22" s="2" t="s">
        <v>924</v>
      </c>
      <c r="H22" s="2" t="s">
        <v>504</v>
      </c>
      <c r="I22" s="2" t="s">
        <v>0</v>
      </c>
      <c r="J22" s="2" t="s">
        <v>0</v>
      </c>
      <c r="K22" s="2" t="s">
        <v>0</v>
      </c>
      <c r="L22" s="2" t="s">
        <v>514</v>
      </c>
      <c r="M22" s="2" t="s">
        <v>27</v>
      </c>
      <c r="N22" s="2" t="s">
        <v>30</v>
      </c>
      <c r="O22" s="2" t="s">
        <v>28</v>
      </c>
      <c r="P22" s="2" t="s">
        <v>29</v>
      </c>
      <c r="Q22" s="2">
        <v>34</v>
      </c>
      <c r="R22" s="2">
        <v>12</v>
      </c>
      <c r="S22" s="2">
        <v>0</v>
      </c>
      <c r="T22" s="2">
        <v>0</v>
      </c>
      <c r="U22" s="2">
        <v>0</v>
      </c>
      <c r="V22" s="2">
        <v>10</v>
      </c>
      <c r="W22" s="2">
        <v>28</v>
      </c>
      <c r="X22" s="2">
        <v>1</v>
      </c>
      <c r="Y22" s="2">
        <v>18</v>
      </c>
      <c r="Z22" s="8" t="s">
        <v>0</v>
      </c>
      <c r="AA22" s="8" t="s">
        <v>0</v>
      </c>
      <c r="AB22" s="8" t="s">
        <v>0</v>
      </c>
      <c r="AC22" s="8" t="s">
        <v>0</v>
      </c>
      <c r="AD22" s="8" t="s">
        <v>0</v>
      </c>
      <c r="AE22" s="8" t="s">
        <v>0</v>
      </c>
      <c r="AF22" s="8" t="s">
        <v>0</v>
      </c>
      <c r="AG22" s="8" t="s">
        <v>0</v>
      </c>
      <c r="AH22" s="8" t="s">
        <v>0</v>
      </c>
      <c r="AI22" s="8" t="s">
        <v>0</v>
      </c>
      <c r="AJ22" s="8" t="s">
        <v>0</v>
      </c>
      <c r="AK22" s="8" t="s">
        <v>0</v>
      </c>
      <c r="AL22" s="8" t="s">
        <v>0</v>
      </c>
      <c r="AM22" s="8" t="s">
        <v>0</v>
      </c>
      <c r="AN22" s="8" t="s">
        <v>0</v>
      </c>
    </row>
    <row r="23" spans="1:40" ht="22.5">
      <c r="A23" s="2" t="s">
        <v>26</v>
      </c>
      <c r="B23" s="2" t="s">
        <v>515</v>
      </c>
      <c r="C23" s="2" t="s">
        <v>499</v>
      </c>
      <c r="D23" s="2" t="s">
        <v>456</v>
      </c>
      <c r="E23" s="2" t="s">
        <v>444</v>
      </c>
      <c r="F23" s="2" t="s">
        <v>445</v>
      </c>
      <c r="G23" s="2" t="s">
        <v>924</v>
      </c>
      <c r="H23" s="2" t="s">
        <v>504</v>
      </c>
      <c r="I23" s="2" t="s">
        <v>0</v>
      </c>
      <c r="J23" s="2" t="s">
        <v>0</v>
      </c>
      <c r="K23" s="2" t="s">
        <v>0</v>
      </c>
      <c r="L23" s="2" t="s">
        <v>516</v>
      </c>
      <c r="M23" s="2" t="s">
        <v>27</v>
      </c>
      <c r="N23" s="2" t="s">
        <v>30</v>
      </c>
      <c r="O23" s="2" t="s">
        <v>28</v>
      </c>
      <c r="P23" s="2" t="s">
        <v>29</v>
      </c>
      <c r="Q23" s="2">
        <v>34</v>
      </c>
      <c r="R23" s="2">
        <v>12</v>
      </c>
      <c r="S23" s="2">
        <v>0</v>
      </c>
      <c r="T23" s="2">
        <v>0</v>
      </c>
      <c r="U23" s="2">
        <v>0</v>
      </c>
      <c r="V23" s="2">
        <v>10</v>
      </c>
      <c r="W23" s="2">
        <v>28</v>
      </c>
      <c r="X23" s="2">
        <v>1</v>
      </c>
      <c r="Y23" s="2">
        <v>18</v>
      </c>
      <c r="Z23" s="8" t="s">
        <v>0</v>
      </c>
      <c r="AA23" s="8" t="s">
        <v>0</v>
      </c>
      <c r="AB23" s="8" t="s">
        <v>0</v>
      </c>
      <c r="AC23" s="8" t="s">
        <v>0</v>
      </c>
      <c r="AD23" s="8" t="s">
        <v>0</v>
      </c>
      <c r="AE23" s="8" t="s">
        <v>0</v>
      </c>
      <c r="AF23" s="8" t="s">
        <v>0</v>
      </c>
      <c r="AG23" s="8" t="s">
        <v>0</v>
      </c>
      <c r="AH23" s="8" t="s">
        <v>0</v>
      </c>
      <c r="AI23" s="8" t="s">
        <v>0</v>
      </c>
      <c r="AJ23" s="8" t="s">
        <v>0</v>
      </c>
      <c r="AK23" s="8" t="s">
        <v>0</v>
      </c>
      <c r="AL23" s="8" t="s">
        <v>0</v>
      </c>
      <c r="AM23" s="8" t="s">
        <v>0</v>
      </c>
      <c r="AN23" s="8" t="s">
        <v>0</v>
      </c>
    </row>
    <row r="24" spans="1:40" ht="22.5">
      <c r="A24" s="2" t="s">
        <v>26</v>
      </c>
      <c r="B24" s="2" t="s">
        <v>517</v>
      </c>
      <c r="C24" s="2" t="s">
        <v>442</v>
      </c>
      <c r="D24" s="2" t="s">
        <v>463</v>
      </c>
      <c r="E24" s="2" t="s">
        <v>444</v>
      </c>
      <c r="F24" s="2" t="s">
        <v>445</v>
      </c>
      <c r="G24" s="2" t="s">
        <v>924</v>
      </c>
      <c r="H24" s="2" t="s">
        <v>504</v>
      </c>
      <c r="I24" s="2" t="s">
        <v>0</v>
      </c>
      <c r="J24" s="2" t="s">
        <v>0</v>
      </c>
      <c r="K24" s="2" t="s">
        <v>0</v>
      </c>
      <c r="L24" s="2" t="s">
        <v>518</v>
      </c>
      <c r="M24" s="2" t="s">
        <v>27</v>
      </c>
      <c r="N24" s="2" t="s">
        <v>30</v>
      </c>
      <c r="O24" s="2" t="s">
        <v>28</v>
      </c>
      <c r="P24" s="2" t="s">
        <v>29</v>
      </c>
      <c r="Q24" s="2">
        <v>34</v>
      </c>
      <c r="R24" s="2">
        <v>12</v>
      </c>
      <c r="S24" s="2">
        <v>0</v>
      </c>
      <c r="T24" s="2">
        <v>0</v>
      </c>
      <c r="U24" s="2">
        <v>0</v>
      </c>
      <c r="V24" s="2">
        <v>10</v>
      </c>
      <c r="W24" s="2">
        <v>28</v>
      </c>
      <c r="X24" s="2">
        <v>1</v>
      </c>
      <c r="Y24" s="2">
        <v>18</v>
      </c>
      <c r="Z24" s="8" t="s">
        <v>0</v>
      </c>
      <c r="AA24" s="8" t="s">
        <v>0</v>
      </c>
      <c r="AB24" s="8" t="s">
        <v>0</v>
      </c>
      <c r="AC24" s="8" t="s">
        <v>0</v>
      </c>
      <c r="AD24" s="8" t="s">
        <v>0</v>
      </c>
      <c r="AE24" s="8" t="s">
        <v>0</v>
      </c>
      <c r="AF24" s="8" t="s">
        <v>0</v>
      </c>
      <c r="AG24" s="8" t="s">
        <v>0</v>
      </c>
      <c r="AH24" s="8" t="s">
        <v>0</v>
      </c>
      <c r="AI24" s="8" t="s">
        <v>0</v>
      </c>
      <c r="AJ24" s="8" t="s">
        <v>0</v>
      </c>
      <c r="AK24" s="8" t="s">
        <v>0</v>
      </c>
      <c r="AL24" s="8" t="s">
        <v>0</v>
      </c>
      <c r="AM24" s="8" t="s">
        <v>0</v>
      </c>
      <c r="AN24" s="8" t="s">
        <v>0</v>
      </c>
    </row>
    <row r="25" spans="1:40" ht="22.5">
      <c r="A25" s="2" t="s">
        <v>121</v>
      </c>
      <c r="B25" s="2" t="s">
        <v>519</v>
      </c>
      <c r="C25" s="2" t="s">
        <v>462</v>
      </c>
      <c r="D25" s="2" t="s">
        <v>492</v>
      </c>
      <c r="E25" s="2" t="s">
        <v>444</v>
      </c>
      <c r="F25" s="2" t="s">
        <v>445</v>
      </c>
      <c r="G25" s="2" t="s">
        <v>924</v>
      </c>
      <c r="H25" s="2" t="s">
        <v>504</v>
      </c>
      <c r="I25" s="2" t="s">
        <v>0</v>
      </c>
      <c r="J25" s="2" t="s">
        <v>0</v>
      </c>
      <c r="K25" s="2" t="s">
        <v>0</v>
      </c>
      <c r="L25" s="2" t="s">
        <v>520</v>
      </c>
      <c r="M25" s="2" t="s">
        <v>27</v>
      </c>
      <c r="N25" s="2" t="s">
        <v>30</v>
      </c>
      <c r="O25" s="2" t="s">
        <v>28</v>
      </c>
      <c r="P25" s="2" t="s">
        <v>29</v>
      </c>
      <c r="Q25" s="2">
        <v>34</v>
      </c>
      <c r="R25" s="2">
        <v>12</v>
      </c>
      <c r="S25" s="2">
        <v>0</v>
      </c>
      <c r="T25" s="2">
        <v>0</v>
      </c>
      <c r="U25" s="2">
        <v>0</v>
      </c>
      <c r="V25" s="2">
        <v>10</v>
      </c>
      <c r="W25" s="2">
        <v>28</v>
      </c>
      <c r="X25" s="2">
        <v>1</v>
      </c>
      <c r="Y25" s="2">
        <v>18</v>
      </c>
      <c r="Z25" s="8" t="s">
        <v>0</v>
      </c>
      <c r="AA25" s="8" t="s">
        <v>0</v>
      </c>
      <c r="AB25" s="8" t="s">
        <v>0</v>
      </c>
      <c r="AC25" s="8" t="s">
        <v>0</v>
      </c>
      <c r="AD25" s="8" t="s">
        <v>0</v>
      </c>
      <c r="AE25" s="8" t="s">
        <v>0</v>
      </c>
      <c r="AF25" s="8" t="s">
        <v>0</v>
      </c>
      <c r="AG25" s="8" t="s">
        <v>0</v>
      </c>
      <c r="AH25" s="8" t="s">
        <v>0</v>
      </c>
      <c r="AI25" s="8" t="s">
        <v>0</v>
      </c>
      <c r="AJ25" s="8" t="s">
        <v>0</v>
      </c>
      <c r="AK25" s="8" t="s">
        <v>0</v>
      </c>
      <c r="AL25" s="8" t="s">
        <v>0</v>
      </c>
      <c r="AM25" s="8" t="s">
        <v>0</v>
      </c>
      <c r="AN25" s="8" t="s">
        <v>0</v>
      </c>
    </row>
    <row r="26" spans="1:40" ht="22.5">
      <c r="A26" s="2" t="s">
        <v>26</v>
      </c>
      <c r="B26" s="2" t="s">
        <v>521</v>
      </c>
      <c r="C26" s="2" t="s">
        <v>455</v>
      </c>
      <c r="D26" s="2" t="s">
        <v>522</v>
      </c>
      <c r="E26" s="2" t="s">
        <v>444</v>
      </c>
      <c r="F26" s="2" t="s">
        <v>445</v>
      </c>
      <c r="G26" s="2" t="s">
        <v>924</v>
      </c>
      <c r="H26" s="2" t="s">
        <v>504</v>
      </c>
      <c r="I26" s="2" t="s">
        <v>0</v>
      </c>
      <c r="J26" s="2" t="s">
        <v>0</v>
      </c>
      <c r="K26" s="2" t="s">
        <v>0</v>
      </c>
      <c r="L26" s="2" t="s">
        <v>523</v>
      </c>
      <c r="M26" s="2" t="s">
        <v>27</v>
      </c>
      <c r="N26" s="2" t="s">
        <v>30</v>
      </c>
      <c r="O26" s="2" t="s">
        <v>28</v>
      </c>
      <c r="P26" s="2" t="s">
        <v>29</v>
      </c>
      <c r="Q26" s="2">
        <v>34</v>
      </c>
      <c r="R26" s="2">
        <v>12</v>
      </c>
      <c r="S26" s="2">
        <v>0</v>
      </c>
      <c r="T26" s="2">
        <v>0</v>
      </c>
      <c r="U26" s="2">
        <v>0</v>
      </c>
      <c r="V26" s="2">
        <v>10</v>
      </c>
      <c r="W26" s="2">
        <v>28</v>
      </c>
      <c r="X26" s="2">
        <v>1</v>
      </c>
      <c r="Y26" s="2">
        <v>18</v>
      </c>
      <c r="Z26" s="8" t="s">
        <v>0</v>
      </c>
      <c r="AA26" s="8" t="s">
        <v>0</v>
      </c>
      <c r="AB26" s="8" t="s">
        <v>0</v>
      </c>
      <c r="AC26" s="8" t="s">
        <v>0</v>
      </c>
      <c r="AD26" s="8" t="s">
        <v>0</v>
      </c>
      <c r="AE26" s="8" t="s">
        <v>0</v>
      </c>
      <c r="AF26" s="8" t="s">
        <v>0</v>
      </c>
      <c r="AG26" s="8" t="s">
        <v>0</v>
      </c>
      <c r="AH26" s="8" t="s">
        <v>0</v>
      </c>
      <c r="AI26" s="8" t="s">
        <v>0</v>
      </c>
      <c r="AJ26" s="8" t="s">
        <v>0</v>
      </c>
      <c r="AK26" s="8" t="s">
        <v>0</v>
      </c>
      <c r="AL26" s="8" t="s">
        <v>0</v>
      </c>
      <c r="AM26" s="8" t="s">
        <v>0</v>
      </c>
      <c r="AN26" s="8" t="s">
        <v>0</v>
      </c>
    </row>
    <row r="27" spans="1:40" ht="22.5">
      <c r="A27" s="2" t="s">
        <v>26</v>
      </c>
      <c r="B27" s="2" t="s">
        <v>524</v>
      </c>
      <c r="C27" s="2" t="s">
        <v>525</v>
      </c>
      <c r="D27" s="2" t="s">
        <v>467</v>
      </c>
      <c r="E27" s="2" t="s">
        <v>444</v>
      </c>
      <c r="F27" s="2" t="s">
        <v>445</v>
      </c>
      <c r="G27" s="2" t="s">
        <v>924</v>
      </c>
      <c r="H27" s="2" t="s">
        <v>504</v>
      </c>
      <c r="I27" s="2" t="s">
        <v>0</v>
      </c>
      <c r="J27" s="2" t="s">
        <v>0</v>
      </c>
      <c r="K27" s="2" t="s">
        <v>0</v>
      </c>
      <c r="L27" s="2" t="s">
        <v>526</v>
      </c>
      <c r="M27" s="2" t="s">
        <v>27</v>
      </c>
      <c r="N27" s="2" t="s">
        <v>30</v>
      </c>
      <c r="O27" s="2" t="s">
        <v>28</v>
      </c>
      <c r="P27" s="2" t="s">
        <v>29</v>
      </c>
      <c r="Q27" s="2">
        <v>34</v>
      </c>
      <c r="R27" s="2">
        <v>12</v>
      </c>
      <c r="S27" s="2">
        <v>0</v>
      </c>
      <c r="T27" s="2">
        <v>0</v>
      </c>
      <c r="U27" s="2">
        <v>0</v>
      </c>
      <c r="V27" s="2">
        <v>10</v>
      </c>
      <c r="W27" s="2">
        <v>28</v>
      </c>
      <c r="X27" s="2">
        <v>1</v>
      </c>
      <c r="Y27" s="2">
        <v>18</v>
      </c>
      <c r="Z27" s="8" t="s">
        <v>0</v>
      </c>
      <c r="AA27" s="8" t="s">
        <v>0</v>
      </c>
      <c r="AB27" s="8" t="s">
        <v>0</v>
      </c>
      <c r="AC27" s="8" t="s">
        <v>0</v>
      </c>
      <c r="AD27" s="8" t="s">
        <v>0</v>
      </c>
      <c r="AE27" s="8" t="s">
        <v>0</v>
      </c>
      <c r="AF27" s="8" t="s">
        <v>0</v>
      </c>
      <c r="AG27" s="8" t="s">
        <v>0</v>
      </c>
      <c r="AH27" s="8" t="s">
        <v>0</v>
      </c>
      <c r="AI27" s="8" t="s">
        <v>0</v>
      </c>
      <c r="AJ27" s="8" t="s">
        <v>0</v>
      </c>
      <c r="AK27" s="8" t="s">
        <v>0</v>
      </c>
      <c r="AL27" s="8" t="s">
        <v>0</v>
      </c>
      <c r="AM27" s="8" t="s">
        <v>0</v>
      </c>
      <c r="AN27" s="8" t="s">
        <v>0</v>
      </c>
    </row>
    <row r="28" spans="1:40" ht="22.5">
      <c r="A28" s="2" t="s">
        <v>26</v>
      </c>
      <c r="B28" s="2" t="s">
        <v>527</v>
      </c>
      <c r="C28" s="2" t="s">
        <v>528</v>
      </c>
      <c r="D28" s="2" t="s">
        <v>467</v>
      </c>
      <c r="E28" s="2" t="s">
        <v>444</v>
      </c>
      <c r="F28" s="2" t="s">
        <v>445</v>
      </c>
      <c r="G28" s="2" t="s">
        <v>924</v>
      </c>
      <c r="H28" s="2" t="s">
        <v>504</v>
      </c>
      <c r="I28" s="2" t="s">
        <v>0</v>
      </c>
      <c r="J28" s="2" t="s">
        <v>0</v>
      </c>
      <c r="K28" s="2" t="s">
        <v>0</v>
      </c>
      <c r="L28" s="2" t="s">
        <v>529</v>
      </c>
      <c r="M28" s="2" t="s">
        <v>27</v>
      </c>
      <c r="N28" s="2" t="s">
        <v>30</v>
      </c>
      <c r="O28" s="2" t="s">
        <v>28</v>
      </c>
      <c r="P28" s="2" t="s">
        <v>29</v>
      </c>
      <c r="Q28" s="2">
        <v>34</v>
      </c>
      <c r="R28" s="2">
        <v>12</v>
      </c>
      <c r="S28" s="2">
        <v>0</v>
      </c>
      <c r="T28" s="2">
        <v>0</v>
      </c>
      <c r="U28" s="2">
        <v>0</v>
      </c>
      <c r="V28" s="2">
        <v>10</v>
      </c>
      <c r="W28" s="2">
        <v>28</v>
      </c>
      <c r="X28" s="2">
        <v>1</v>
      </c>
      <c r="Y28" s="2">
        <v>18</v>
      </c>
      <c r="Z28" s="8" t="s">
        <v>0</v>
      </c>
      <c r="AA28" s="8" t="s">
        <v>0</v>
      </c>
      <c r="AB28" s="8" t="s">
        <v>0</v>
      </c>
      <c r="AC28" s="8" t="s">
        <v>0</v>
      </c>
      <c r="AD28" s="8" t="s">
        <v>0</v>
      </c>
      <c r="AE28" s="8" t="s">
        <v>0</v>
      </c>
      <c r="AF28" s="8" t="s">
        <v>0</v>
      </c>
      <c r="AG28" s="8" t="s">
        <v>0</v>
      </c>
      <c r="AH28" s="8" t="s">
        <v>0</v>
      </c>
      <c r="AI28" s="8" t="s">
        <v>0</v>
      </c>
      <c r="AJ28" s="8" t="s">
        <v>0</v>
      </c>
      <c r="AK28" s="8" t="s">
        <v>0</v>
      </c>
      <c r="AL28" s="8" t="s">
        <v>0</v>
      </c>
      <c r="AM28" s="8" t="s">
        <v>0</v>
      </c>
      <c r="AN28" s="8" t="s">
        <v>0</v>
      </c>
    </row>
    <row r="29" spans="1:40" ht="22.5">
      <c r="A29" s="2" t="s">
        <v>26</v>
      </c>
      <c r="B29" s="2" t="s">
        <v>530</v>
      </c>
      <c r="C29" s="2" t="s">
        <v>525</v>
      </c>
      <c r="D29" s="2" t="s">
        <v>470</v>
      </c>
      <c r="E29" s="2" t="s">
        <v>444</v>
      </c>
      <c r="F29" s="2" t="s">
        <v>445</v>
      </c>
      <c r="G29" s="2" t="s">
        <v>924</v>
      </c>
      <c r="H29" s="2" t="s">
        <v>504</v>
      </c>
      <c r="I29" s="2" t="s">
        <v>0</v>
      </c>
      <c r="J29" s="2" t="s">
        <v>0</v>
      </c>
      <c r="K29" s="2" t="s">
        <v>0</v>
      </c>
      <c r="L29" s="2" t="s">
        <v>531</v>
      </c>
      <c r="M29" s="2" t="s">
        <v>27</v>
      </c>
      <c r="N29" s="2" t="s">
        <v>30</v>
      </c>
      <c r="O29" s="2" t="s">
        <v>28</v>
      </c>
      <c r="P29" s="2" t="s">
        <v>29</v>
      </c>
      <c r="Q29" s="2">
        <v>34</v>
      </c>
      <c r="R29" s="2">
        <v>12</v>
      </c>
      <c r="S29" s="2">
        <v>0</v>
      </c>
      <c r="T29" s="2">
        <v>0</v>
      </c>
      <c r="U29" s="2">
        <v>0</v>
      </c>
      <c r="V29" s="2">
        <v>10</v>
      </c>
      <c r="W29" s="2">
        <v>28</v>
      </c>
      <c r="X29" s="2">
        <v>1</v>
      </c>
      <c r="Y29" s="2">
        <v>18</v>
      </c>
      <c r="Z29" s="8" t="s">
        <v>0</v>
      </c>
      <c r="AA29" s="8" t="s">
        <v>0</v>
      </c>
      <c r="AB29" s="8" t="s">
        <v>0</v>
      </c>
      <c r="AC29" s="8" t="s">
        <v>0</v>
      </c>
      <c r="AD29" s="8" t="s">
        <v>0</v>
      </c>
      <c r="AE29" s="8" t="s">
        <v>0</v>
      </c>
      <c r="AF29" s="8" t="s">
        <v>0</v>
      </c>
      <c r="AG29" s="8" t="s">
        <v>0</v>
      </c>
      <c r="AH29" s="8" t="s">
        <v>0</v>
      </c>
      <c r="AI29" s="8" t="s">
        <v>0</v>
      </c>
      <c r="AJ29" s="8" t="s">
        <v>0</v>
      </c>
      <c r="AK29" s="8" t="s">
        <v>0</v>
      </c>
      <c r="AL29" s="8" t="s">
        <v>0</v>
      </c>
      <c r="AM29" s="8" t="s">
        <v>0</v>
      </c>
      <c r="AN29" s="8" t="s">
        <v>0</v>
      </c>
    </row>
    <row r="30" spans="1:40" ht="22.5">
      <c r="A30" s="2" t="s">
        <v>26</v>
      </c>
      <c r="B30" s="2" t="s">
        <v>532</v>
      </c>
      <c r="C30" s="2" t="s">
        <v>455</v>
      </c>
      <c r="D30" s="2" t="s">
        <v>443</v>
      </c>
      <c r="E30" s="2" t="s">
        <v>444</v>
      </c>
      <c r="F30" s="2" t="s">
        <v>445</v>
      </c>
      <c r="G30" s="2" t="s">
        <v>924</v>
      </c>
      <c r="H30" s="2" t="s">
        <v>533</v>
      </c>
      <c r="I30" s="2" t="s">
        <v>0</v>
      </c>
      <c r="J30" s="2" t="s">
        <v>0</v>
      </c>
      <c r="K30" s="2" t="s">
        <v>0</v>
      </c>
      <c r="L30" s="2" t="s">
        <v>534</v>
      </c>
      <c r="M30" s="2" t="s">
        <v>27</v>
      </c>
      <c r="N30" s="2" t="s">
        <v>30</v>
      </c>
      <c r="O30" s="2" t="s">
        <v>28</v>
      </c>
      <c r="P30" s="2" t="s">
        <v>29</v>
      </c>
      <c r="Q30" s="2">
        <v>34</v>
      </c>
      <c r="R30" s="2">
        <v>12</v>
      </c>
      <c r="S30" s="2">
        <v>0</v>
      </c>
      <c r="T30" s="2">
        <v>0</v>
      </c>
      <c r="U30" s="2">
        <v>0</v>
      </c>
      <c r="V30" s="2">
        <v>10</v>
      </c>
      <c r="W30" s="2">
        <v>28</v>
      </c>
      <c r="X30" s="2">
        <v>1</v>
      </c>
      <c r="Y30" s="2">
        <v>18</v>
      </c>
      <c r="Z30" s="8" t="s">
        <v>0</v>
      </c>
      <c r="AA30" s="8" t="s">
        <v>0</v>
      </c>
      <c r="AB30" s="8" t="s">
        <v>0</v>
      </c>
      <c r="AC30" s="8" t="s">
        <v>0</v>
      </c>
      <c r="AD30" s="8" t="s">
        <v>0</v>
      </c>
      <c r="AE30" s="8" t="s">
        <v>0</v>
      </c>
      <c r="AF30" s="8" t="s">
        <v>0</v>
      </c>
      <c r="AG30" s="8" t="s">
        <v>0</v>
      </c>
      <c r="AH30" s="8" t="s">
        <v>0</v>
      </c>
      <c r="AI30" s="8" t="s">
        <v>0</v>
      </c>
      <c r="AJ30" s="8" t="s">
        <v>0</v>
      </c>
      <c r="AK30" s="8" t="s">
        <v>0</v>
      </c>
      <c r="AL30" s="8" t="s">
        <v>0</v>
      </c>
      <c r="AM30" s="8" t="s">
        <v>0</v>
      </c>
      <c r="AN30" s="8" t="s">
        <v>0</v>
      </c>
    </row>
    <row r="31" spans="1:40" ht="22.5">
      <c r="A31" s="2" t="s">
        <v>26</v>
      </c>
      <c r="B31" s="2" t="s">
        <v>535</v>
      </c>
      <c r="C31" s="2" t="s">
        <v>536</v>
      </c>
      <c r="D31" s="2" t="s">
        <v>443</v>
      </c>
      <c r="E31" s="2" t="s">
        <v>444</v>
      </c>
      <c r="F31" s="2" t="s">
        <v>445</v>
      </c>
      <c r="G31" s="2" t="s">
        <v>924</v>
      </c>
      <c r="H31" s="2" t="s">
        <v>533</v>
      </c>
      <c r="I31" s="2" t="s">
        <v>0</v>
      </c>
      <c r="J31" s="2" t="s">
        <v>0</v>
      </c>
      <c r="K31" s="2" t="s">
        <v>0</v>
      </c>
      <c r="L31" s="2" t="s">
        <v>537</v>
      </c>
      <c r="M31" s="2" t="s">
        <v>27</v>
      </c>
      <c r="N31" s="2" t="s">
        <v>30</v>
      </c>
      <c r="O31" s="2" t="s">
        <v>28</v>
      </c>
      <c r="P31" s="2" t="s">
        <v>29</v>
      </c>
      <c r="Q31" s="2">
        <v>34</v>
      </c>
      <c r="R31" s="2">
        <v>12</v>
      </c>
      <c r="S31" s="2">
        <v>0</v>
      </c>
      <c r="T31" s="2">
        <v>0</v>
      </c>
      <c r="U31" s="2">
        <v>0</v>
      </c>
      <c r="V31" s="2">
        <v>10</v>
      </c>
      <c r="W31" s="2">
        <v>28</v>
      </c>
      <c r="X31" s="2">
        <v>1</v>
      </c>
      <c r="Y31" s="2">
        <v>18</v>
      </c>
      <c r="Z31" s="8" t="s">
        <v>0</v>
      </c>
      <c r="AA31" s="8" t="s">
        <v>0</v>
      </c>
      <c r="AB31" s="8" t="s">
        <v>0</v>
      </c>
      <c r="AC31" s="8" t="s">
        <v>0</v>
      </c>
      <c r="AD31" s="8" t="s">
        <v>0</v>
      </c>
      <c r="AE31" s="8" t="s">
        <v>0</v>
      </c>
      <c r="AF31" s="8" t="s">
        <v>0</v>
      </c>
      <c r="AG31" s="8" t="s">
        <v>0</v>
      </c>
      <c r="AH31" s="8" t="s">
        <v>0</v>
      </c>
      <c r="AI31" s="8" t="s">
        <v>0</v>
      </c>
      <c r="AJ31" s="8" t="s">
        <v>0</v>
      </c>
      <c r="AK31" s="8" t="s">
        <v>0</v>
      </c>
      <c r="AL31" s="8" t="s">
        <v>0</v>
      </c>
      <c r="AM31" s="8" t="s">
        <v>0</v>
      </c>
      <c r="AN31" s="8" t="s">
        <v>0</v>
      </c>
    </row>
    <row r="32" spans="1:40" ht="22.5">
      <c r="A32" s="2" t="s">
        <v>26</v>
      </c>
      <c r="B32" s="2" t="s">
        <v>538</v>
      </c>
      <c r="C32" s="2" t="s">
        <v>525</v>
      </c>
      <c r="D32" s="2" t="s">
        <v>503</v>
      </c>
      <c r="E32" s="2" t="s">
        <v>444</v>
      </c>
      <c r="F32" s="2" t="s">
        <v>445</v>
      </c>
      <c r="G32" s="2" t="s">
        <v>924</v>
      </c>
      <c r="H32" s="2" t="s">
        <v>533</v>
      </c>
      <c r="I32" s="2" t="s">
        <v>0</v>
      </c>
      <c r="J32" s="2" t="s">
        <v>0</v>
      </c>
      <c r="K32" s="2" t="s">
        <v>0</v>
      </c>
      <c r="L32" s="2" t="s">
        <v>539</v>
      </c>
      <c r="M32" s="2" t="s">
        <v>27</v>
      </c>
      <c r="N32" s="2" t="s">
        <v>30</v>
      </c>
      <c r="O32" s="2" t="s">
        <v>28</v>
      </c>
      <c r="P32" s="2" t="s">
        <v>29</v>
      </c>
      <c r="Q32" s="2">
        <v>34</v>
      </c>
      <c r="R32" s="2">
        <v>12</v>
      </c>
      <c r="S32" s="2">
        <v>0</v>
      </c>
      <c r="T32" s="2">
        <v>0</v>
      </c>
      <c r="U32" s="2">
        <v>0</v>
      </c>
      <c r="V32" s="2">
        <v>10</v>
      </c>
      <c r="W32" s="2">
        <v>28</v>
      </c>
      <c r="X32" s="2">
        <v>1</v>
      </c>
      <c r="Y32" s="2">
        <v>18</v>
      </c>
      <c r="Z32" s="8" t="s">
        <v>0</v>
      </c>
      <c r="AA32" s="8" t="s">
        <v>0</v>
      </c>
      <c r="AB32" s="8" t="s">
        <v>0</v>
      </c>
      <c r="AC32" s="8" t="s">
        <v>0</v>
      </c>
      <c r="AD32" s="8" t="s">
        <v>0</v>
      </c>
      <c r="AE32" s="8" t="s">
        <v>0</v>
      </c>
      <c r="AF32" s="8" t="s">
        <v>0</v>
      </c>
      <c r="AG32" s="8" t="s">
        <v>0</v>
      </c>
      <c r="AH32" s="8" t="s">
        <v>0</v>
      </c>
      <c r="AI32" s="8" t="s">
        <v>0</v>
      </c>
      <c r="AJ32" s="8" t="s">
        <v>0</v>
      </c>
      <c r="AK32" s="8" t="s">
        <v>0</v>
      </c>
      <c r="AL32" s="8" t="s">
        <v>0</v>
      </c>
      <c r="AM32" s="8" t="s">
        <v>0</v>
      </c>
      <c r="AN32" s="8" t="s">
        <v>0</v>
      </c>
    </row>
    <row r="33" spans="1:40" ht="22.5">
      <c r="A33" s="2" t="s">
        <v>26</v>
      </c>
      <c r="B33" s="2" t="s">
        <v>540</v>
      </c>
      <c r="C33" s="2" t="s">
        <v>477</v>
      </c>
      <c r="D33" s="2" t="s">
        <v>503</v>
      </c>
      <c r="E33" s="2" t="s">
        <v>444</v>
      </c>
      <c r="F33" s="2" t="s">
        <v>445</v>
      </c>
      <c r="G33" s="2" t="s">
        <v>924</v>
      </c>
      <c r="H33" s="2" t="s">
        <v>533</v>
      </c>
      <c r="I33" s="2" t="s">
        <v>0</v>
      </c>
      <c r="J33" s="2" t="s">
        <v>0</v>
      </c>
      <c r="K33" s="2" t="s">
        <v>0</v>
      </c>
      <c r="L33" s="2" t="s">
        <v>541</v>
      </c>
      <c r="M33" s="2" t="s">
        <v>27</v>
      </c>
      <c r="N33" s="2" t="s">
        <v>30</v>
      </c>
      <c r="O33" s="2" t="s">
        <v>28</v>
      </c>
      <c r="P33" s="2" t="s">
        <v>29</v>
      </c>
      <c r="Q33" s="2">
        <v>34</v>
      </c>
      <c r="R33" s="2">
        <v>12</v>
      </c>
      <c r="S33" s="2">
        <v>0</v>
      </c>
      <c r="T33" s="2">
        <v>0</v>
      </c>
      <c r="U33" s="2">
        <v>0</v>
      </c>
      <c r="V33" s="2">
        <v>10</v>
      </c>
      <c r="W33" s="2">
        <v>28</v>
      </c>
      <c r="X33" s="2">
        <v>1</v>
      </c>
      <c r="Y33" s="2">
        <v>18</v>
      </c>
      <c r="Z33" s="8" t="s">
        <v>0</v>
      </c>
      <c r="AA33" s="8" t="s">
        <v>0</v>
      </c>
      <c r="AB33" s="8" t="s">
        <v>0</v>
      </c>
      <c r="AC33" s="8" t="s">
        <v>0</v>
      </c>
      <c r="AD33" s="8" t="s">
        <v>0</v>
      </c>
      <c r="AE33" s="8" t="s">
        <v>0</v>
      </c>
      <c r="AF33" s="8" t="s">
        <v>0</v>
      </c>
      <c r="AG33" s="8" t="s">
        <v>0</v>
      </c>
      <c r="AH33" s="8" t="s">
        <v>0</v>
      </c>
      <c r="AI33" s="8" t="s">
        <v>0</v>
      </c>
      <c r="AJ33" s="8" t="s">
        <v>0</v>
      </c>
      <c r="AK33" s="8" t="s">
        <v>0</v>
      </c>
      <c r="AL33" s="8" t="s">
        <v>0</v>
      </c>
      <c r="AM33" s="8" t="s">
        <v>0</v>
      </c>
      <c r="AN33" s="8" t="s">
        <v>0</v>
      </c>
    </row>
    <row r="34" spans="1:40" ht="22.5">
      <c r="A34" s="2" t="s">
        <v>26</v>
      </c>
      <c r="B34" s="2" t="s">
        <v>542</v>
      </c>
      <c r="C34" s="2" t="s">
        <v>499</v>
      </c>
      <c r="D34" s="2" t="s">
        <v>503</v>
      </c>
      <c r="E34" s="2" t="s">
        <v>444</v>
      </c>
      <c r="F34" s="2" t="s">
        <v>445</v>
      </c>
      <c r="G34" s="2" t="s">
        <v>924</v>
      </c>
      <c r="H34" s="2" t="s">
        <v>533</v>
      </c>
      <c r="I34" s="2" t="s">
        <v>0</v>
      </c>
      <c r="J34" s="2" t="s">
        <v>0</v>
      </c>
      <c r="K34" s="2" t="s">
        <v>0</v>
      </c>
      <c r="L34" s="2" t="s">
        <v>543</v>
      </c>
      <c r="M34" s="2" t="s">
        <v>27</v>
      </c>
      <c r="N34" s="2" t="s">
        <v>30</v>
      </c>
      <c r="O34" s="2" t="s">
        <v>28</v>
      </c>
      <c r="P34" s="2" t="s">
        <v>29</v>
      </c>
      <c r="Q34" s="2">
        <v>34</v>
      </c>
      <c r="R34" s="2">
        <v>12</v>
      </c>
      <c r="S34" s="2">
        <v>0</v>
      </c>
      <c r="T34" s="2">
        <v>0</v>
      </c>
      <c r="U34" s="2">
        <v>0</v>
      </c>
      <c r="V34" s="2">
        <v>10</v>
      </c>
      <c r="W34" s="2">
        <v>28</v>
      </c>
      <c r="X34" s="2">
        <v>1</v>
      </c>
      <c r="Y34" s="2">
        <v>18</v>
      </c>
      <c r="Z34" s="8" t="s">
        <v>0</v>
      </c>
      <c r="AA34" s="8" t="s">
        <v>0</v>
      </c>
      <c r="AB34" s="8" t="s">
        <v>0</v>
      </c>
      <c r="AC34" s="8" t="s">
        <v>0</v>
      </c>
      <c r="AD34" s="8" t="s">
        <v>0</v>
      </c>
      <c r="AE34" s="8" t="s">
        <v>0</v>
      </c>
      <c r="AF34" s="8" t="s">
        <v>0</v>
      </c>
      <c r="AG34" s="8" t="s">
        <v>0</v>
      </c>
      <c r="AH34" s="8" t="s">
        <v>0</v>
      </c>
      <c r="AI34" s="8" t="s">
        <v>0</v>
      </c>
      <c r="AJ34" s="8" t="s">
        <v>0</v>
      </c>
      <c r="AK34" s="8" t="s">
        <v>0</v>
      </c>
      <c r="AL34" s="8" t="s">
        <v>0</v>
      </c>
      <c r="AM34" s="8" t="s">
        <v>0</v>
      </c>
      <c r="AN34" s="8" t="s">
        <v>0</v>
      </c>
    </row>
    <row r="35" spans="1:40" ht="22.5">
      <c r="A35" s="2" t="s">
        <v>26</v>
      </c>
      <c r="B35" s="2" t="s">
        <v>544</v>
      </c>
      <c r="C35" s="2" t="s">
        <v>545</v>
      </c>
      <c r="D35" s="2" t="s">
        <v>503</v>
      </c>
      <c r="E35" s="2" t="s">
        <v>444</v>
      </c>
      <c r="F35" s="2" t="s">
        <v>445</v>
      </c>
      <c r="G35" s="2" t="s">
        <v>924</v>
      </c>
      <c r="H35" s="2" t="s">
        <v>533</v>
      </c>
      <c r="I35" s="2" t="s">
        <v>0</v>
      </c>
      <c r="J35" s="2" t="s">
        <v>0</v>
      </c>
      <c r="K35" s="2" t="s">
        <v>0</v>
      </c>
      <c r="L35" s="2" t="s">
        <v>546</v>
      </c>
      <c r="M35" s="2" t="s">
        <v>27</v>
      </c>
      <c r="N35" s="2" t="s">
        <v>30</v>
      </c>
      <c r="O35" s="2" t="s">
        <v>28</v>
      </c>
      <c r="P35" s="2" t="s">
        <v>29</v>
      </c>
      <c r="Q35" s="2">
        <v>34</v>
      </c>
      <c r="R35" s="2">
        <v>12</v>
      </c>
      <c r="S35" s="2">
        <v>0</v>
      </c>
      <c r="T35" s="2">
        <v>0</v>
      </c>
      <c r="U35" s="2">
        <v>0</v>
      </c>
      <c r="V35" s="2">
        <v>10</v>
      </c>
      <c r="W35" s="2">
        <v>28</v>
      </c>
      <c r="X35" s="2">
        <v>1</v>
      </c>
      <c r="Y35" s="2">
        <v>18</v>
      </c>
      <c r="Z35" s="8" t="s">
        <v>0</v>
      </c>
      <c r="AA35" s="8" t="s">
        <v>0</v>
      </c>
      <c r="AB35" s="8" t="s">
        <v>0</v>
      </c>
      <c r="AC35" s="8" t="s">
        <v>0</v>
      </c>
      <c r="AD35" s="8" t="s">
        <v>0</v>
      </c>
      <c r="AE35" s="8" t="s">
        <v>0</v>
      </c>
      <c r="AF35" s="8" t="s">
        <v>0</v>
      </c>
      <c r="AG35" s="8" t="s">
        <v>0</v>
      </c>
      <c r="AH35" s="8" t="s">
        <v>0</v>
      </c>
      <c r="AI35" s="8" t="s">
        <v>0</v>
      </c>
      <c r="AJ35" s="8" t="s">
        <v>0</v>
      </c>
      <c r="AK35" s="8" t="s">
        <v>0</v>
      </c>
      <c r="AL35" s="8" t="s">
        <v>0</v>
      </c>
      <c r="AM35" s="8" t="s">
        <v>0</v>
      </c>
      <c r="AN35" s="8" t="s">
        <v>0</v>
      </c>
    </row>
    <row r="36" spans="1:40" ht="22.5">
      <c r="A36" s="2" t="s">
        <v>121</v>
      </c>
      <c r="B36" s="2" t="s">
        <v>547</v>
      </c>
      <c r="C36" s="2" t="s">
        <v>455</v>
      </c>
      <c r="D36" s="2" t="s">
        <v>513</v>
      </c>
      <c r="E36" s="2" t="s">
        <v>444</v>
      </c>
      <c r="F36" s="2" t="s">
        <v>445</v>
      </c>
      <c r="G36" s="2" t="s">
        <v>924</v>
      </c>
      <c r="H36" s="2" t="s">
        <v>533</v>
      </c>
      <c r="I36" s="2" t="s">
        <v>0</v>
      </c>
      <c r="J36" s="2" t="s">
        <v>0</v>
      </c>
      <c r="K36" s="2" t="s">
        <v>0</v>
      </c>
      <c r="L36" s="2" t="s">
        <v>548</v>
      </c>
      <c r="M36" s="2" t="s">
        <v>27</v>
      </c>
      <c r="N36" s="2" t="s">
        <v>30</v>
      </c>
      <c r="O36" s="2" t="s">
        <v>28</v>
      </c>
      <c r="P36" s="2" t="s">
        <v>29</v>
      </c>
      <c r="Q36" s="2">
        <v>34</v>
      </c>
      <c r="R36" s="2">
        <v>12</v>
      </c>
      <c r="S36" s="2">
        <v>0</v>
      </c>
      <c r="T36" s="2">
        <v>0</v>
      </c>
      <c r="U36" s="2">
        <v>0</v>
      </c>
      <c r="V36" s="2">
        <v>10</v>
      </c>
      <c r="W36" s="2">
        <v>28</v>
      </c>
      <c r="X36" s="2">
        <v>1</v>
      </c>
      <c r="Y36" s="2">
        <v>18</v>
      </c>
      <c r="Z36" s="8" t="s">
        <v>0</v>
      </c>
      <c r="AA36" s="8" t="s">
        <v>0</v>
      </c>
      <c r="AB36" s="8" t="s">
        <v>0</v>
      </c>
      <c r="AC36" s="8" t="s">
        <v>0</v>
      </c>
      <c r="AD36" s="8" t="s">
        <v>0</v>
      </c>
      <c r="AE36" s="8" t="s">
        <v>0</v>
      </c>
      <c r="AF36" s="8" t="s">
        <v>0</v>
      </c>
      <c r="AG36" s="8" t="s">
        <v>0</v>
      </c>
      <c r="AH36" s="8" t="s">
        <v>0</v>
      </c>
      <c r="AI36" s="8" t="s">
        <v>0</v>
      </c>
      <c r="AJ36" s="8" t="s">
        <v>0</v>
      </c>
      <c r="AK36" s="8" t="s">
        <v>0</v>
      </c>
      <c r="AL36" s="8" t="s">
        <v>0</v>
      </c>
      <c r="AM36" s="8" t="s">
        <v>0</v>
      </c>
      <c r="AN36" s="8" t="s">
        <v>0</v>
      </c>
    </row>
    <row r="37" spans="1:40" ht="22.5">
      <c r="A37" s="2" t="s">
        <v>121</v>
      </c>
      <c r="B37" s="2" t="s">
        <v>549</v>
      </c>
      <c r="C37" s="2" t="s">
        <v>550</v>
      </c>
      <c r="D37" s="2" t="s">
        <v>513</v>
      </c>
      <c r="E37" s="2" t="s">
        <v>444</v>
      </c>
      <c r="F37" s="2" t="s">
        <v>445</v>
      </c>
      <c r="G37" s="2" t="s">
        <v>924</v>
      </c>
      <c r="H37" s="2" t="s">
        <v>533</v>
      </c>
      <c r="I37" s="2" t="s">
        <v>0</v>
      </c>
      <c r="J37" s="2" t="s">
        <v>0</v>
      </c>
      <c r="K37" s="2" t="s">
        <v>0</v>
      </c>
      <c r="L37" s="2" t="s">
        <v>551</v>
      </c>
      <c r="M37" s="2" t="s">
        <v>27</v>
      </c>
      <c r="N37" s="2" t="s">
        <v>30</v>
      </c>
      <c r="O37" s="2" t="s">
        <v>28</v>
      </c>
      <c r="P37" s="2" t="s">
        <v>29</v>
      </c>
      <c r="Q37" s="2">
        <v>34</v>
      </c>
      <c r="R37" s="2">
        <v>12</v>
      </c>
      <c r="S37" s="2">
        <v>0</v>
      </c>
      <c r="T37" s="2">
        <v>0</v>
      </c>
      <c r="U37" s="2">
        <v>0</v>
      </c>
      <c r="V37" s="2">
        <v>10</v>
      </c>
      <c r="W37" s="2">
        <v>28</v>
      </c>
      <c r="X37" s="2">
        <v>1</v>
      </c>
      <c r="Y37" s="2">
        <v>18</v>
      </c>
      <c r="Z37" s="8" t="s">
        <v>0</v>
      </c>
      <c r="AA37" s="8" t="s">
        <v>0</v>
      </c>
      <c r="AB37" s="8" t="s">
        <v>0</v>
      </c>
      <c r="AC37" s="8" t="s">
        <v>0</v>
      </c>
      <c r="AD37" s="8" t="s">
        <v>0</v>
      </c>
      <c r="AE37" s="8" t="s">
        <v>0</v>
      </c>
      <c r="AF37" s="8" t="s">
        <v>0</v>
      </c>
      <c r="AG37" s="8" t="s">
        <v>0</v>
      </c>
      <c r="AH37" s="8" t="s">
        <v>0</v>
      </c>
      <c r="AI37" s="8" t="s">
        <v>0</v>
      </c>
      <c r="AJ37" s="8" t="s">
        <v>0</v>
      </c>
      <c r="AK37" s="8" t="s">
        <v>0</v>
      </c>
      <c r="AL37" s="8" t="s">
        <v>0</v>
      </c>
      <c r="AM37" s="8" t="s">
        <v>0</v>
      </c>
      <c r="AN37" s="8" t="s">
        <v>0</v>
      </c>
    </row>
    <row r="38" spans="1:40" ht="22.5">
      <c r="A38" s="2" t="s">
        <v>121</v>
      </c>
      <c r="B38" s="2" t="s">
        <v>552</v>
      </c>
      <c r="C38" s="2" t="s">
        <v>449</v>
      </c>
      <c r="D38" s="2" t="s">
        <v>513</v>
      </c>
      <c r="E38" s="2" t="s">
        <v>444</v>
      </c>
      <c r="F38" s="2" t="s">
        <v>445</v>
      </c>
      <c r="G38" s="2" t="s">
        <v>924</v>
      </c>
      <c r="H38" s="2" t="s">
        <v>533</v>
      </c>
      <c r="I38" s="2" t="s">
        <v>0</v>
      </c>
      <c r="J38" s="2" t="s">
        <v>0</v>
      </c>
      <c r="K38" s="2" t="s">
        <v>0</v>
      </c>
      <c r="L38" s="2" t="s">
        <v>553</v>
      </c>
      <c r="M38" s="2" t="s">
        <v>27</v>
      </c>
      <c r="N38" s="2" t="s">
        <v>30</v>
      </c>
      <c r="O38" s="2" t="s">
        <v>28</v>
      </c>
      <c r="P38" s="2" t="s">
        <v>29</v>
      </c>
      <c r="Q38" s="2">
        <v>34</v>
      </c>
      <c r="R38" s="2">
        <v>12</v>
      </c>
      <c r="S38" s="2">
        <v>0</v>
      </c>
      <c r="T38" s="2">
        <v>0</v>
      </c>
      <c r="U38" s="2">
        <v>0</v>
      </c>
      <c r="V38" s="2">
        <v>10</v>
      </c>
      <c r="W38" s="2">
        <v>28</v>
      </c>
      <c r="X38" s="2">
        <v>1</v>
      </c>
      <c r="Y38" s="2">
        <v>18</v>
      </c>
      <c r="Z38" s="8" t="s">
        <v>0</v>
      </c>
      <c r="AA38" s="8" t="s">
        <v>0</v>
      </c>
      <c r="AB38" s="8" t="s">
        <v>0</v>
      </c>
      <c r="AC38" s="8" t="s">
        <v>0</v>
      </c>
      <c r="AD38" s="8" t="s">
        <v>0</v>
      </c>
      <c r="AE38" s="8" t="s">
        <v>0</v>
      </c>
      <c r="AF38" s="8" t="s">
        <v>0</v>
      </c>
      <c r="AG38" s="8" t="s">
        <v>0</v>
      </c>
      <c r="AH38" s="8" t="s">
        <v>0</v>
      </c>
      <c r="AI38" s="8" t="s">
        <v>0</v>
      </c>
      <c r="AJ38" s="8" t="s">
        <v>0</v>
      </c>
      <c r="AK38" s="8" t="s">
        <v>0</v>
      </c>
      <c r="AL38" s="8" t="s">
        <v>0</v>
      </c>
      <c r="AM38" s="8" t="s">
        <v>0</v>
      </c>
      <c r="AN38" s="8" t="s">
        <v>0</v>
      </c>
    </row>
    <row r="39" spans="1:40" ht="33.75">
      <c r="A39" s="2" t="s">
        <v>121</v>
      </c>
      <c r="B39" s="2" t="s">
        <v>554</v>
      </c>
      <c r="C39" s="2" t="s">
        <v>507</v>
      </c>
      <c r="D39" s="2" t="s">
        <v>513</v>
      </c>
      <c r="E39" s="2" t="s">
        <v>444</v>
      </c>
      <c r="F39" s="2" t="s">
        <v>445</v>
      </c>
      <c r="G39" s="2" t="s">
        <v>924</v>
      </c>
      <c r="H39" s="2" t="s">
        <v>533</v>
      </c>
      <c r="I39" s="2" t="s">
        <v>0</v>
      </c>
      <c r="J39" s="2" t="s">
        <v>0</v>
      </c>
      <c r="K39" s="2" t="s">
        <v>0</v>
      </c>
      <c r="L39" s="2" t="s">
        <v>555</v>
      </c>
      <c r="M39" s="2" t="s">
        <v>27</v>
      </c>
      <c r="N39" s="2" t="s">
        <v>30</v>
      </c>
      <c r="O39" s="2" t="s">
        <v>28</v>
      </c>
      <c r="P39" s="2" t="s">
        <v>29</v>
      </c>
      <c r="Q39" s="2">
        <v>34</v>
      </c>
      <c r="R39" s="2">
        <v>12</v>
      </c>
      <c r="S39" s="2">
        <v>0</v>
      </c>
      <c r="T39" s="2">
        <v>0</v>
      </c>
      <c r="U39" s="2">
        <v>0</v>
      </c>
      <c r="V39" s="2">
        <v>10</v>
      </c>
      <c r="W39" s="2">
        <v>28</v>
      </c>
      <c r="X39" s="2">
        <v>1</v>
      </c>
      <c r="Y39" s="2">
        <v>18</v>
      </c>
      <c r="Z39" s="8" t="s">
        <v>0</v>
      </c>
      <c r="AA39" s="8" t="s">
        <v>0</v>
      </c>
      <c r="AB39" s="8" t="s">
        <v>0</v>
      </c>
      <c r="AC39" s="8" t="s">
        <v>0</v>
      </c>
      <c r="AD39" s="8" t="s">
        <v>0</v>
      </c>
      <c r="AE39" s="8" t="s">
        <v>0</v>
      </c>
      <c r="AF39" s="8" t="s">
        <v>0</v>
      </c>
      <c r="AG39" s="8" t="s">
        <v>0</v>
      </c>
      <c r="AH39" s="8" t="s">
        <v>0</v>
      </c>
      <c r="AI39" s="8" t="s">
        <v>0</v>
      </c>
      <c r="AJ39" s="8" t="s">
        <v>0</v>
      </c>
      <c r="AK39" s="8" t="s">
        <v>0</v>
      </c>
      <c r="AL39" s="8" t="s">
        <v>0</v>
      </c>
      <c r="AM39" s="8" t="s">
        <v>0</v>
      </c>
      <c r="AN39" s="8" t="s">
        <v>0</v>
      </c>
    </row>
    <row r="40" spans="1:40" ht="22.5">
      <c r="A40" s="2" t="s">
        <v>26</v>
      </c>
      <c r="B40" s="2" t="s">
        <v>556</v>
      </c>
      <c r="C40" s="2" t="s">
        <v>455</v>
      </c>
      <c r="D40" s="2" t="s">
        <v>480</v>
      </c>
      <c r="E40" s="2" t="s">
        <v>444</v>
      </c>
      <c r="F40" s="2" t="s">
        <v>445</v>
      </c>
      <c r="G40" s="2" t="s">
        <v>924</v>
      </c>
      <c r="H40" s="2" t="s">
        <v>533</v>
      </c>
      <c r="I40" s="2" t="s">
        <v>0</v>
      </c>
      <c r="J40" s="2" t="s">
        <v>0</v>
      </c>
      <c r="K40" s="2" t="s">
        <v>0</v>
      </c>
      <c r="L40" s="2" t="s">
        <v>557</v>
      </c>
      <c r="M40" s="2" t="s">
        <v>27</v>
      </c>
      <c r="N40" s="2" t="s">
        <v>30</v>
      </c>
      <c r="O40" s="2" t="s">
        <v>28</v>
      </c>
      <c r="P40" s="2" t="s">
        <v>29</v>
      </c>
      <c r="Q40" s="2">
        <v>34</v>
      </c>
      <c r="R40" s="2">
        <v>12</v>
      </c>
      <c r="S40" s="2">
        <v>0</v>
      </c>
      <c r="T40" s="2">
        <v>0</v>
      </c>
      <c r="U40" s="2">
        <v>0</v>
      </c>
      <c r="V40" s="2">
        <v>10</v>
      </c>
      <c r="W40" s="2">
        <v>28</v>
      </c>
      <c r="X40" s="2">
        <v>1</v>
      </c>
      <c r="Y40" s="2">
        <v>18</v>
      </c>
      <c r="Z40" s="8" t="s">
        <v>0</v>
      </c>
      <c r="AA40" s="8" t="s">
        <v>0</v>
      </c>
      <c r="AB40" s="8" t="s">
        <v>0</v>
      </c>
      <c r="AC40" s="8" t="s">
        <v>0</v>
      </c>
      <c r="AD40" s="8" t="s">
        <v>0</v>
      </c>
      <c r="AE40" s="8" t="s">
        <v>0</v>
      </c>
      <c r="AF40" s="8" t="s">
        <v>0</v>
      </c>
      <c r="AG40" s="8" t="s">
        <v>0</v>
      </c>
      <c r="AH40" s="8" t="s">
        <v>0</v>
      </c>
      <c r="AI40" s="8" t="s">
        <v>0</v>
      </c>
      <c r="AJ40" s="8" t="s">
        <v>0</v>
      </c>
      <c r="AK40" s="8" t="s">
        <v>0</v>
      </c>
      <c r="AL40" s="8" t="s">
        <v>0</v>
      </c>
      <c r="AM40" s="8" t="s">
        <v>0</v>
      </c>
      <c r="AN40" s="8" t="s">
        <v>0</v>
      </c>
    </row>
    <row r="41" spans="1:40" ht="22.5">
      <c r="A41" s="2" t="s">
        <v>121</v>
      </c>
      <c r="B41" s="2" t="s">
        <v>558</v>
      </c>
      <c r="C41" s="2" t="s">
        <v>550</v>
      </c>
      <c r="D41" s="2" t="s">
        <v>480</v>
      </c>
      <c r="E41" s="2" t="s">
        <v>444</v>
      </c>
      <c r="F41" s="2" t="s">
        <v>445</v>
      </c>
      <c r="G41" s="2" t="s">
        <v>924</v>
      </c>
      <c r="H41" s="2" t="s">
        <v>533</v>
      </c>
      <c r="I41" s="2" t="s">
        <v>0</v>
      </c>
      <c r="J41" s="2" t="s">
        <v>0</v>
      </c>
      <c r="K41" s="2" t="s">
        <v>0</v>
      </c>
      <c r="L41" s="2" t="s">
        <v>559</v>
      </c>
      <c r="M41" s="2" t="s">
        <v>27</v>
      </c>
      <c r="N41" s="2" t="s">
        <v>30</v>
      </c>
      <c r="O41" s="2" t="s">
        <v>28</v>
      </c>
      <c r="P41" s="2" t="s">
        <v>29</v>
      </c>
      <c r="Q41" s="2">
        <v>34</v>
      </c>
      <c r="R41" s="2">
        <v>12</v>
      </c>
      <c r="S41" s="2">
        <v>0</v>
      </c>
      <c r="T41" s="2">
        <v>0</v>
      </c>
      <c r="U41" s="2">
        <v>0</v>
      </c>
      <c r="V41" s="2">
        <v>10</v>
      </c>
      <c r="W41" s="2">
        <v>28</v>
      </c>
      <c r="X41" s="2">
        <v>1</v>
      </c>
      <c r="Y41" s="2">
        <v>18</v>
      </c>
      <c r="Z41" s="8" t="s">
        <v>0</v>
      </c>
      <c r="AA41" s="8" t="s">
        <v>0</v>
      </c>
      <c r="AB41" s="8" t="s">
        <v>0</v>
      </c>
      <c r="AC41" s="8" t="s">
        <v>0</v>
      </c>
      <c r="AD41" s="8" t="s">
        <v>0</v>
      </c>
      <c r="AE41" s="8" t="s">
        <v>0</v>
      </c>
      <c r="AF41" s="8" t="s">
        <v>0</v>
      </c>
      <c r="AG41" s="8" t="s">
        <v>0</v>
      </c>
      <c r="AH41" s="8" t="s">
        <v>0</v>
      </c>
      <c r="AI41" s="8" t="s">
        <v>0</v>
      </c>
      <c r="AJ41" s="8" t="s">
        <v>0</v>
      </c>
      <c r="AK41" s="8" t="s">
        <v>0</v>
      </c>
      <c r="AL41" s="8" t="s">
        <v>0</v>
      </c>
      <c r="AM41" s="8" t="s">
        <v>0</v>
      </c>
      <c r="AN41" s="8" t="s">
        <v>0</v>
      </c>
    </row>
    <row r="42" spans="1:40" ht="22.5">
      <c r="A42" s="2" t="s">
        <v>121</v>
      </c>
      <c r="B42" s="2" t="s">
        <v>560</v>
      </c>
      <c r="C42" s="2" t="s">
        <v>499</v>
      </c>
      <c r="D42" s="2" t="s">
        <v>480</v>
      </c>
      <c r="E42" s="2" t="s">
        <v>444</v>
      </c>
      <c r="F42" s="2" t="s">
        <v>445</v>
      </c>
      <c r="G42" s="2" t="s">
        <v>924</v>
      </c>
      <c r="H42" s="2" t="s">
        <v>533</v>
      </c>
      <c r="I42" s="2" t="s">
        <v>0</v>
      </c>
      <c r="J42" s="2" t="s">
        <v>0</v>
      </c>
      <c r="K42" s="2" t="s">
        <v>0</v>
      </c>
      <c r="L42" s="2" t="s">
        <v>561</v>
      </c>
      <c r="M42" s="2" t="s">
        <v>27</v>
      </c>
      <c r="N42" s="2" t="s">
        <v>30</v>
      </c>
      <c r="O42" s="2" t="s">
        <v>28</v>
      </c>
      <c r="P42" s="2" t="s">
        <v>29</v>
      </c>
      <c r="Q42" s="2">
        <v>34</v>
      </c>
      <c r="R42" s="2">
        <v>12</v>
      </c>
      <c r="S42" s="2">
        <v>0</v>
      </c>
      <c r="T42" s="2">
        <v>0</v>
      </c>
      <c r="U42" s="2">
        <v>0</v>
      </c>
      <c r="V42" s="2">
        <v>10</v>
      </c>
      <c r="W42" s="2">
        <v>28</v>
      </c>
      <c r="X42" s="2">
        <v>1</v>
      </c>
      <c r="Y42" s="2">
        <v>18</v>
      </c>
      <c r="Z42" s="8" t="s">
        <v>0</v>
      </c>
      <c r="AA42" s="8" t="s">
        <v>0</v>
      </c>
      <c r="AB42" s="8" t="s">
        <v>0</v>
      </c>
      <c r="AC42" s="8" t="s">
        <v>0</v>
      </c>
      <c r="AD42" s="8" t="s">
        <v>0</v>
      </c>
      <c r="AE42" s="8" t="s">
        <v>0</v>
      </c>
      <c r="AF42" s="8" t="s">
        <v>0</v>
      </c>
      <c r="AG42" s="8" t="s">
        <v>0</v>
      </c>
      <c r="AH42" s="8" t="s">
        <v>0</v>
      </c>
      <c r="AI42" s="8" t="s">
        <v>0</v>
      </c>
      <c r="AJ42" s="8" t="s">
        <v>0</v>
      </c>
      <c r="AK42" s="8" t="s">
        <v>0</v>
      </c>
      <c r="AL42" s="8" t="s">
        <v>0</v>
      </c>
      <c r="AM42" s="8" t="s">
        <v>0</v>
      </c>
      <c r="AN42" s="8" t="s">
        <v>0</v>
      </c>
    </row>
    <row r="43" spans="1:40" ht="22.5">
      <c r="A43" s="2" t="s">
        <v>121</v>
      </c>
      <c r="B43" s="2" t="s">
        <v>562</v>
      </c>
      <c r="C43" s="2" t="s">
        <v>563</v>
      </c>
      <c r="D43" s="2" t="s">
        <v>480</v>
      </c>
      <c r="E43" s="2" t="s">
        <v>444</v>
      </c>
      <c r="F43" s="2" t="s">
        <v>445</v>
      </c>
      <c r="G43" s="2" t="s">
        <v>924</v>
      </c>
      <c r="H43" s="2" t="s">
        <v>533</v>
      </c>
      <c r="I43" s="2" t="s">
        <v>0</v>
      </c>
      <c r="J43" s="2" t="s">
        <v>0</v>
      </c>
      <c r="K43" s="2" t="s">
        <v>0</v>
      </c>
      <c r="L43" s="2" t="s">
        <v>564</v>
      </c>
      <c r="M43" s="2" t="s">
        <v>27</v>
      </c>
      <c r="N43" s="2" t="s">
        <v>30</v>
      </c>
      <c r="O43" s="2" t="s">
        <v>28</v>
      </c>
      <c r="P43" s="2" t="s">
        <v>29</v>
      </c>
      <c r="Q43" s="2">
        <v>34</v>
      </c>
      <c r="R43" s="2">
        <v>12</v>
      </c>
      <c r="S43" s="2">
        <v>0</v>
      </c>
      <c r="T43" s="2">
        <v>0</v>
      </c>
      <c r="U43" s="2">
        <v>0</v>
      </c>
      <c r="V43" s="2">
        <v>10</v>
      </c>
      <c r="W43" s="2">
        <v>28</v>
      </c>
      <c r="X43" s="2">
        <v>1</v>
      </c>
      <c r="Y43" s="2">
        <v>18</v>
      </c>
      <c r="Z43" s="8" t="s">
        <v>0</v>
      </c>
      <c r="AA43" s="8" t="s">
        <v>0</v>
      </c>
      <c r="AB43" s="8" t="s">
        <v>0</v>
      </c>
      <c r="AC43" s="8" t="s">
        <v>0</v>
      </c>
      <c r="AD43" s="8" t="s">
        <v>0</v>
      </c>
      <c r="AE43" s="8" t="s">
        <v>0</v>
      </c>
      <c r="AF43" s="8" t="s">
        <v>0</v>
      </c>
      <c r="AG43" s="8" t="s">
        <v>0</v>
      </c>
      <c r="AH43" s="8" t="s">
        <v>0</v>
      </c>
      <c r="AI43" s="8" t="s">
        <v>0</v>
      </c>
      <c r="AJ43" s="8" t="s">
        <v>0</v>
      </c>
      <c r="AK43" s="8" t="s">
        <v>0</v>
      </c>
      <c r="AL43" s="8" t="s">
        <v>0</v>
      </c>
      <c r="AM43" s="8" t="s">
        <v>0</v>
      </c>
      <c r="AN43" s="8" t="s">
        <v>0</v>
      </c>
    </row>
    <row r="44" spans="1:40" ht="22.5">
      <c r="A44" s="2" t="s">
        <v>26</v>
      </c>
      <c r="B44" s="2" t="s">
        <v>565</v>
      </c>
      <c r="C44" s="2" t="s">
        <v>566</v>
      </c>
      <c r="D44" s="2" t="s">
        <v>456</v>
      </c>
      <c r="E44" s="2" t="s">
        <v>444</v>
      </c>
      <c r="F44" s="2" t="s">
        <v>445</v>
      </c>
      <c r="G44" s="2" t="s">
        <v>924</v>
      </c>
      <c r="H44" s="2" t="s">
        <v>533</v>
      </c>
      <c r="I44" s="2" t="s">
        <v>0</v>
      </c>
      <c r="J44" s="2" t="s">
        <v>0</v>
      </c>
      <c r="K44" s="2" t="s">
        <v>0</v>
      </c>
      <c r="L44" s="2" t="s">
        <v>567</v>
      </c>
      <c r="M44" s="2" t="s">
        <v>27</v>
      </c>
      <c r="N44" s="2" t="s">
        <v>30</v>
      </c>
      <c r="O44" s="2" t="s">
        <v>28</v>
      </c>
      <c r="P44" s="2" t="s">
        <v>29</v>
      </c>
      <c r="Q44" s="2">
        <v>34</v>
      </c>
      <c r="R44" s="2">
        <v>12</v>
      </c>
      <c r="S44" s="2">
        <v>0</v>
      </c>
      <c r="T44" s="2">
        <v>0</v>
      </c>
      <c r="U44" s="2">
        <v>0</v>
      </c>
      <c r="V44" s="2">
        <v>10</v>
      </c>
      <c r="W44" s="2">
        <v>28</v>
      </c>
      <c r="X44" s="2">
        <v>1</v>
      </c>
      <c r="Y44" s="2">
        <v>18</v>
      </c>
      <c r="Z44" s="8" t="s">
        <v>0</v>
      </c>
      <c r="AA44" s="8" t="s">
        <v>0</v>
      </c>
      <c r="AB44" s="8" t="s">
        <v>0</v>
      </c>
      <c r="AC44" s="8" t="s">
        <v>0</v>
      </c>
      <c r="AD44" s="8" t="s">
        <v>0</v>
      </c>
      <c r="AE44" s="8" t="s">
        <v>0</v>
      </c>
      <c r="AF44" s="8" t="s">
        <v>0</v>
      </c>
      <c r="AG44" s="8" t="s">
        <v>0</v>
      </c>
      <c r="AH44" s="8" t="s">
        <v>0</v>
      </c>
      <c r="AI44" s="8" t="s">
        <v>0</v>
      </c>
      <c r="AJ44" s="8" t="s">
        <v>0</v>
      </c>
      <c r="AK44" s="8" t="s">
        <v>0</v>
      </c>
      <c r="AL44" s="8" t="s">
        <v>0</v>
      </c>
      <c r="AM44" s="8" t="s">
        <v>0</v>
      </c>
      <c r="AN44" s="8" t="s">
        <v>0</v>
      </c>
    </row>
    <row r="45" spans="1:40" ht="22.5">
      <c r="A45" s="2" t="s">
        <v>26</v>
      </c>
      <c r="B45" s="2" t="s">
        <v>568</v>
      </c>
      <c r="C45" s="2" t="s">
        <v>477</v>
      </c>
      <c r="D45" s="2" t="s">
        <v>456</v>
      </c>
      <c r="E45" s="2" t="s">
        <v>444</v>
      </c>
      <c r="F45" s="2" t="s">
        <v>445</v>
      </c>
      <c r="G45" s="2" t="s">
        <v>924</v>
      </c>
      <c r="H45" s="2" t="s">
        <v>533</v>
      </c>
      <c r="I45" s="2" t="s">
        <v>0</v>
      </c>
      <c r="J45" s="2" t="s">
        <v>0</v>
      </c>
      <c r="K45" s="2" t="s">
        <v>0</v>
      </c>
      <c r="L45" s="2" t="s">
        <v>569</v>
      </c>
      <c r="M45" s="2" t="s">
        <v>27</v>
      </c>
      <c r="N45" s="2" t="s">
        <v>30</v>
      </c>
      <c r="O45" s="2" t="s">
        <v>28</v>
      </c>
      <c r="P45" s="2" t="s">
        <v>29</v>
      </c>
      <c r="Q45" s="2">
        <v>34</v>
      </c>
      <c r="R45" s="2">
        <v>12</v>
      </c>
      <c r="S45" s="2">
        <v>0</v>
      </c>
      <c r="T45" s="2">
        <v>0</v>
      </c>
      <c r="U45" s="2">
        <v>0</v>
      </c>
      <c r="V45" s="2">
        <v>10</v>
      </c>
      <c r="W45" s="2">
        <v>28</v>
      </c>
      <c r="X45" s="2">
        <v>1</v>
      </c>
      <c r="Y45" s="2">
        <v>18</v>
      </c>
      <c r="Z45" s="8" t="s">
        <v>0</v>
      </c>
      <c r="AA45" s="8" t="s">
        <v>0</v>
      </c>
      <c r="AB45" s="8" t="s">
        <v>0</v>
      </c>
      <c r="AC45" s="8" t="s">
        <v>0</v>
      </c>
      <c r="AD45" s="8" t="s">
        <v>0</v>
      </c>
      <c r="AE45" s="8" t="s">
        <v>0</v>
      </c>
      <c r="AF45" s="8" t="s">
        <v>0</v>
      </c>
      <c r="AG45" s="8" t="s">
        <v>0</v>
      </c>
      <c r="AH45" s="8" t="s">
        <v>0</v>
      </c>
      <c r="AI45" s="8" t="s">
        <v>0</v>
      </c>
      <c r="AJ45" s="8" t="s">
        <v>0</v>
      </c>
      <c r="AK45" s="8" t="s">
        <v>0</v>
      </c>
      <c r="AL45" s="8" t="s">
        <v>0</v>
      </c>
      <c r="AM45" s="8" t="s">
        <v>0</v>
      </c>
      <c r="AN45" s="8" t="s">
        <v>0</v>
      </c>
    </row>
    <row r="46" spans="1:40" ht="22.5">
      <c r="A46" s="2" t="s">
        <v>26</v>
      </c>
      <c r="B46" s="2" t="s">
        <v>570</v>
      </c>
      <c r="C46" s="2" t="s">
        <v>571</v>
      </c>
      <c r="D46" s="2" t="s">
        <v>456</v>
      </c>
      <c r="E46" s="2" t="s">
        <v>444</v>
      </c>
      <c r="F46" s="2" t="s">
        <v>445</v>
      </c>
      <c r="G46" s="2" t="s">
        <v>924</v>
      </c>
      <c r="H46" s="2" t="s">
        <v>533</v>
      </c>
      <c r="I46" s="2" t="s">
        <v>0</v>
      </c>
      <c r="J46" s="2" t="s">
        <v>0</v>
      </c>
      <c r="K46" s="2" t="s">
        <v>0</v>
      </c>
      <c r="L46" s="2" t="s">
        <v>572</v>
      </c>
      <c r="M46" s="2" t="s">
        <v>27</v>
      </c>
      <c r="N46" s="2" t="s">
        <v>30</v>
      </c>
      <c r="O46" s="2" t="s">
        <v>28</v>
      </c>
      <c r="P46" s="2" t="s">
        <v>29</v>
      </c>
      <c r="Q46" s="2">
        <v>34</v>
      </c>
      <c r="R46" s="2">
        <v>12</v>
      </c>
      <c r="S46" s="2">
        <v>0</v>
      </c>
      <c r="T46" s="2">
        <v>0</v>
      </c>
      <c r="U46" s="2">
        <v>0</v>
      </c>
      <c r="V46" s="2">
        <v>10</v>
      </c>
      <c r="W46" s="2">
        <v>28</v>
      </c>
      <c r="X46" s="2">
        <v>1</v>
      </c>
      <c r="Y46" s="2">
        <v>18</v>
      </c>
      <c r="Z46" s="8" t="s">
        <v>0</v>
      </c>
      <c r="AA46" s="8" t="s">
        <v>0</v>
      </c>
      <c r="AB46" s="8" t="s">
        <v>0</v>
      </c>
      <c r="AC46" s="8" t="s">
        <v>0</v>
      </c>
      <c r="AD46" s="8" t="s">
        <v>0</v>
      </c>
      <c r="AE46" s="8" t="s">
        <v>0</v>
      </c>
      <c r="AF46" s="8" t="s">
        <v>0</v>
      </c>
      <c r="AG46" s="8" t="s">
        <v>0</v>
      </c>
      <c r="AH46" s="8" t="s">
        <v>0</v>
      </c>
      <c r="AI46" s="8" t="s">
        <v>0</v>
      </c>
      <c r="AJ46" s="8" t="s">
        <v>0</v>
      </c>
      <c r="AK46" s="8" t="s">
        <v>0</v>
      </c>
      <c r="AL46" s="8" t="s">
        <v>0</v>
      </c>
      <c r="AM46" s="8" t="s">
        <v>0</v>
      </c>
      <c r="AN46" s="8" t="s">
        <v>0</v>
      </c>
    </row>
    <row r="47" spans="1:40" ht="22.5">
      <c r="A47" s="2" t="s">
        <v>26</v>
      </c>
      <c r="B47" s="2" t="s">
        <v>573</v>
      </c>
      <c r="C47" s="2" t="s">
        <v>563</v>
      </c>
      <c r="D47" s="2" t="s">
        <v>574</v>
      </c>
      <c r="E47" s="2" t="s">
        <v>444</v>
      </c>
      <c r="F47" s="2" t="s">
        <v>445</v>
      </c>
      <c r="G47" s="2" t="s">
        <v>924</v>
      </c>
      <c r="H47" s="2" t="s">
        <v>533</v>
      </c>
      <c r="I47" s="2" t="s">
        <v>0</v>
      </c>
      <c r="J47" s="2" t="s">
        <v>0</v>
      </c>
      <c r="K47" s="2" t="s">
        <v>0</v>
      </c>
      <c r="L47" s="2" t="s">
        <v>575</v>
      </c>
      <c r="M47" s="2" t="s">
        <v>27</v>
      </c>
      <c r="N47" s="2" t="s">
        <v>30</v>
      </c>
      <c r="O47" s="2" t="s">
        <v>28</v>
      </c>
      <c r="P47" s="2" t="s">
        <v>29</v>
      </c>
      <c r="Q47" s="2">
        <v>34</v>
      </c>
      <c r="R47" s="2">
        <v>12</v>
      </c>
      <c r="S47" s="2">
        <v>0</v>
      </c>
      <c r="T47" s="2">
        <v>0</v>
      </c>
      <c r="U47" s="2">
        <v>0</v>
      </c>
      <c r="V47" s="2">
        <v>10</v>
      </c>
      <c r="W47" s="2">
        <v>28</v>
      </c>
      <c r="X47" s="2">
        <v>1</v>
      </c>
      <c r="Y47" s="2">
        <v>18</v>
      </c>
      <c r="Z47" s="8" t="s">
        <v>0</v>
      </c>
      <c r="AA47" s="8" t="s">
        <v>0</v>
      </c>
      <c r="AB47" s="8" t="s">
        <v>0</v>
      </c>
      <c r="AC47" s="8" t="s">
        <v>0</v>
      </c>
      <c r="AD47" s="8" t="s">
        <v>0</v>
      </c>
      <c r="AE47" s="8" t="s">
        <v>0</v>
      </c>
      <c r="AF47" s="8" t="s">
        <v>0</v>
      </c>
      <c r="AG47" s="8" t="s">
        <v>0</v>
      </c>
      <c r="AH47" s="8" t="s">
        <v>0</v>
      </c>
      <c r="AI47" s="8" t="s">
        <v>0</v>
      </c>
      <c r="AJ47" s="8" t="s">
        <v>0</v>
      </c>
      <c r="AK47" s="8" t="s">
        <v>0</v>
      </c>
      <c r="AL47" s="8" t="s">
        <v>0</v>
      </c>
      <c r="AM47" s="8" t="s">
        <v>0</v>
      </c>
      <c r="AN47" s="8" t="s">
        <v>0</v>
      </c>
    </row>
    <row r="48" spans="1:40" ht="22.5">
      <c r="A48" s="2" t="s">
        <v>26</v>
      </c>
      <c r="B48" s="2" t="s">
        <v>576</v>
      </c>
      <c r="C48" s="2" t="s">
        <v>442</v>
      </c>
      <c r="D48" s="2" t="s">
        <v>577</v>
      </c>
      <c r="E48" s="2" t="s">
        <v>444</v>
      </c>
      <c r="F48" s="2" t="s">
        <v>445</v>
      </c>
      <c r="G48" s="2" t="s">
        <v>924</v>
      </c>
      <c r="H48" s="2" t="s">
        <v>533</v>
      </c>
      <c r="I48" s="2" t="s">
        <v>0</v>
      </c>
      <c r="J48" s="2" t="s">
        <v>0</v>
      </c>
      <c r="K48" s="2" t="s">
        <v>0</v>
      </c>
      <c r="L48" s="2" t="s">
        <v>578</v>
      </c>
      <c r="M48" s="2" t="s">
        <v>27</v>
      </c>
      <c r="N48" s="2" t="s">
        <v>30</v>
      </c>
      <c r="O48" s="2" t="s">
        <v>28</v>
      </c>
      <c r="P48" s="2" t="s">
        <v>29</v>
      </c>
      <c r="Q48" s="2">
        <v>34</v>
      </c>
      <c r="R48" s="2">
        <v>12</v>
      </c>
      <c r="S48" s="2">
        <v>0</v>
      </c>
      <c r="T48" s="2">
        <v>0</v>
      </c>
      <c r="U48" s="2">
        <v>0</v>
      </c>
      <c r="V48" s="2">
        <v>10</v>
      </c>
      <c r="W48" s="2">
        <v>28</v>
      </c>
      <c r="X48" s="2">
        <v>1</v>
      </c>
      <c r="Y48" s="2">
        <v>18</v>
      </c>
      <c r="Z48" s="8" t="s">
        <v>0</v>
      </c>
      <c r="AA48" s="8" t="s">
        <v>0</v>
      </c>
      <c r="AB48" s="8" t="s">
        <v>0</v>
      </c>
      <c r="AC48" s="8" t="s">
        <v>0</v>
      </c>
      <c r="AD48" s="8" t="s">
        <v>0</v>
      </c>
      <c r="AE48" s="8" t="s">
        <v>0</v>
      </c>
      <c r="AF48" s="8" t="s">
        <v>0</v>
      </c>
      <c r="AG48" s="8" t="s">
        <v>0</v>
      </c>
      <c r="AH48" s="8" t="s">
        <v>0</v>
      </c>
      <c r="AI48" s="8" t="s">
        <v>0</v>
      </c>
      <c r="AJ48" s="8" t="s">
        <v>0</v>
      </c>
      <c r="AK48" s="8" t="s">
        <v>0</v>
      </c>
      <c r="AL48" s="8" t="s">
        <v>0</v>
      </c>
      <c r="AM48" s="8" t="s">
        <v>0</v>
      </c>
      <c r="AN48" s="8" t="s">
        <v>0</v>
      </c>
    </row>
    <row r="49" spans="1:40" ht="22.5">
      <c r="A49" s="2" t="s">
        <v>26</v>
      </c>
      <c r="B49" s="2" t="s">
        <v>579</v>
      </c>
      <c r="C49" s="2" t="s">
        <v>536</v>
      </c>
      <c r="D49" s="2" t="s">
        <v>577</v>
      </c>
      <c r="E49" s="2" t="s">
        <v>444</v>
      </c>
      <c r="F49" s="2" t="s">
        <v>445</v>
      </c>
      <c r="G49" s="2" t="s">
        <v>924</v>
      </c>
      <c r="H49" s="2" t="s">
        <v>533</v>
      </c>
      <c r="I49" s="2" t="s">
        <v>0</v>
      </c>
      <c r="J49" s="2" t="s">
        <v>0</v>
      </c>
      <c r="K49" s="2" t="s">
        <v>0</v>
      </c>
      <c r="L49" s="2" t="s">
        <v>580</v>
      </c>
      <c r="M49" s="2" t="s">
        <v>27</v>
      </c>
      <c r="N49" s="2" t="s">
        <v>30</v>
      </c>
      <c r="O49" s="2" t="s">
        <v>28</v>
      </c>
      <c r="P49" s="2" t="s">
        <v>29</v>
      </c>
      <c r="Q49" s="2">
        <v>34</v>
      </c>
      <c r="R49" s="2">
        <v>12</v>
      </c>
      <c r="S49" s="2">
        <v>0</v>
      </c>
      <c r="T49" s="2">
        <v>0</v>
      </c>
      <c r="U49" s="2">
        <v>0</v>
      </c>
      <c r="V49" s="2">
        <v>10</v>
      </c>
      <c r="W49" s="2">
        <v>28</v>
      </c>
      <c r="X49" s="2">
        <v>1</v>
      </c>
      <c r="Y49" s="2">
        <v>18</v>
      </c>
      <c r="Z49" s="8" t="s">
        <v>0</v>
      </c>
      <c r="AA49" s="8" t="s">
        <v>0</v>
      </c>
      <c r="AB49" s="8" t="s">
        <v>0</v>
      </c>
      <c r="AC49" s="8" t="s">
        <v>0</v>
      </c>
      <c r="AD49" s="8" t="s">
        <v>0</v>
      </c>
      <c r="AE49" s="8" t="s">
        <v>0</v>
      </c>
      <c r="AF49" s="8" t="s">
        <v>0</v>
      </c>
      <c r="AG49" s="8" t="s">
        <v>0</v>
      </c>
      <c r="AH49" s="8" t="s">
        <v>0</v>
      </c>
      <c r="AI49" s="8" t="s">
        <v>0</v>
      </c>
      <c r="AJ49" s="8" t="s">
        <v>0</v>
      </c>
      <c r="AK49" s="8" t="s">
        <v>0</v>
      </c>
      <c r="AL49" s="8" t="s">
        <v>0</v>
      </c>
      <c r="AM49" s="8" t="s">
        <v>0</v>
      </c>
      <c r="AN49" s="8" t="s">
        <v>0</v>
      </c>
    </row>
    <row r="50" spans="1:40" ht="22.5">
      <c r="A50" s="2" t="s">
        <v>26</v>
      </c>
      <c r="B50" s="2" t="s">
        <v>581</v>
      </c>
      <c r="C50" s="2" t="s">
        <v>495</v>
      </c>
      <c r="D50" s="2" t="s">
        <v>489</v>
      </c>
      <c r="E50" s="2" t="s">
        <v>444</v>
      </c>
      <c r="F50" s="2" t="s">
        <v>445</v>
      </c>
      <c r="G50" s="2" t="s">
        <v>924</v>
      </c>
      <c r="H50" s="2" t="s">
        <v>533</v>
      </c>
      <c r="I50" s="2" t="s">
        <v>0</v>
      </c>
      <c r="J50" s="2" t="s">
        <v>0</v>
      </c>
      <c r="K50" s="2" t="s">
        <v>0</v>
      </c>
      <c r="L50" s="2" t="s">
        <v>582</v>
      </c>
      <c r="M50" s="2" t="s">
        <v>27</v>
      </c>
      <c r="N50" s="2" t="s">
        <v>30</v>
      </c>
      <c r="O50" s="2" t="s">
        <v>28</v>
      </c>
      <c r="P50" s="2" t="s">
        <v>29</v>
      </c>
      <c r="Q50" s="2">
        <v>34</v>
      </c>
      <c r="R50" s="2">
        <v>12</v>
      </c>
      <c r="S50" s="2">
        <v>0</v>
      </c>
      <c r="T50" s="2">
        <v>0</v>
      </c>
      <c r="U50" s="2">
        <v>0</v>
      </c>
      <c r="V50" s="2">
        <v>10</v>
      </c>
      <c r="W50" s="2">
        <v>28</v>
      </c>
      <c r="X50" s="2">
        <v>1</v>
      </c>
      <c r="Y50" s="2">
        <v>18</v>
      </c>
      <c r="Z50" s="8" t="s">
        <v>0</v>
      </c>
      <c r="AA50" s="8" t="s">
        <v>0</v>
      </c>
      <c r="AB50" s="8" t="s">
        <v>0</v>
      </c>
      <c r="AC50" s="8" t="s">
        <v>0</v>
      </c>
      <c r="AD50" s="8" t="s">
        <v>0</v>
      </c>
      <c r="AE50" s="8" t="s">
        <v>0</v>
      </c>
      <c r="AF50" s="8" t="s">
        <v>0</v>
      </c>
      <c r="AG50" s="8" t="s">
        <v>0</v>
      </c>
      <c r="AH50" s="8" t="s">
        <v>0</v>
      </c>
      <c r="AI50" s="8" t="s">
        <v>0</v>
      </c>
      <c r="AJ50" s="8" t="s">
        <v>0</v>
      </c>
      <c r="AK50" s="8" t="s">
        <v>0</v>
      </c>
      <c r="AL50" s="8" t="s">
        <v>0</v>
      </c>
      <c r="AM50" s="8" t="s">
        <v>0</v>
      </c>
      <c r="AN50" s="8" t="s">
        <v>0</v>
      </c>
    </row>
    <row r="51" spans="1:40" ht="22.5">
      <c r="A51" s="2" t="s">
        <v>26</v>
      </c>
      <c r="B51" s="2" t="s">
        <v>583</v>
      </c>
      <c r="C51" s="2" t="s">
        <v>584</v>
      </c>
      <c r="D51" s="2" t="s">
        <v>489</v>
      </c>
      <c r="E51" s="2" t="s">
        <v>444</v>
      </c>
      <c r="F51" s="2" t="s">
        <v>445</v>
      </c>
      <c r="G51" s="2" t="s">
        <v>924</v>
      </c>
      <c r="H51" s="2" t="s">
        <v>533</v>
      </c>
      <c r="I51" s="2" t="s">
        <v>0</v>
      </c>
      <c r="J51" s="2" t="s">
        <v>0</v>
      </c>
      <c r="K51" s="2" t="s">
        <v>0</v>
      </c>
      <c r="L51" s="2" t="s">
        <v>585</v>
      </c>
      <c r="M51" s="2" t="s">
        <v>27</v>
      </c>
      <c r="N51" s="2" t="s">
        <v>30</v>
      </c>
      <c r="O51" s="2" t="s">
        <v>28</v>
      </c>
      <c r="P51" s="2" t="s">
        <v>29</v>
      </c>
      <c r="Q51" s="2">
        <v>34</v>
      </c>
      <c r="R51" s="2">
        <v>12</v>
      </c>
      <c r="S51" s="2">
        <v>0</v>
      </c>
      <c r="T51" s="2">
        <v>0</v>
      </c>
      <c r="U51" s="2">
        <v>0</v>
      </c>
      <c r="V51" s="2">
        <v>10</v>
      </c>
      <c r="W51" s="2">
        <v>28</v>
      </c>
      <c r="X51" s="2">
        <v>1</v>
      </c>
      <c r="Y51" s="2">
        <v>18</v>
      </c>
      <c r="Z51" s="8" t="s">
        <v>0</v>
      </c>
      <c r="AA51" s="8" t="s">
        <v>0</v>
      </c>
      <c r="AB51" s="8" t="s">
        <v>0</v>
      </c>
      <c r="AC51" s="8" t="s">
        <v>0</v>
      </c>
      <c r="AD51" s="8" t="s">
        <v>0</v>
      </c>
      <c r="AE51" s="8" t="s">
        <v>0</v>
      </c>
      <c r="AF51" s="8" t="s">
        <v>0</v>
      </c>
      <c r="AG51" s="8" t="s">
        <v>0</v>
      </c>
      <c r="AH51" s="8" t="s">
        <v>0</v>
      </c>
      <c r="AI51" s="8" t="s">
        <v>0</v>
      </c>
      <c r="AJ51" s="8" t="s">
        <v>0</v>
      </c>
      <c r="AK51" s="8" t="s">
        <v>0</v>
      </c>
      <c r="AL51" s="8" t="s">
        <v>0</v>
      </c>
      <c r="AM51" s="8" t="s">
        <v>0</v>
      </c>
      <c r="AN51" s="8" t="s">
        <v>0</v>
      </c>
    </row>
    <row r="52" spans="1:40" ht="22.5">
      <c r="A52" s="2" t="s">
        <v>26</v>
      </c>
      <c r="B52" s="2" t="s">
        <v>586</v>
      </c>
      <c r="C52" s="2" t="s">
        <v>550</v>
      </c>
      <c r="D52" s="2" t="s">
        <v>489</v>
      </c>
      <c r="E52" s="2" t="s">
        <v>444</v>
      </c>
      <c r="F52" s="2" t="s">
        <v>445</v>
      </c>
      <c r="G52" s="2" t="s">
        <v>924</v>
      </c>
      <c r="H52" s="2" t="s">
        <v>533</v>
      </c>
      <c r="I52" s="2" t="s">
        <v>0</v>
      </c>
      <c r="J52" s="2" t="s">
        <v>0</v>
      </c>
      <c r="K52" s="2" t="s">
        <v>0</v>
      </c>
      <c r="L52" s="2" t="s">
        <v>587</v>
      </c>
      <c r="M52" s="2" t="s">
        <v>27</v>
      </c>
      <c r="N52" s="2" t="s">
        <v>30</v>
      </c>
      <c r="O52" s="2" t="s">
        <v>28</v>
      </c>
      <c r="P52" s="2" t="s">
        <v>29</v>
      </c>
      <c r="Q52" s="2">
        <v>34</v>
      </c>
      <c r="R52" s="2">
        <v>12</v>
      </c>
      <c r="S52" s="2">
        <v>0</v>
      </c>
      <c r="T52" s="2">
        <v>0</v>
      </c>
      <c r="U52" s="2">
        <v>0</v>
      </c>
      <c r="V52" s="2">
        <v>10</v>
      </c>
      <c r="W52" s="2">
        <v>28</v>
      </c>
      <c r="X52" s="2">
        <v>1</v>
      </c>
      <c r="Y52" s="2">
        <v>18</v>
      </c>
      <c r="Z52" s="8" t="s">
        <v>0</v>
      </c>
      <c r="AA52" s="8" t="s">
        <v>0</v>
      </c>
      <c r="AB52" s="8" t="s">
        <v>0</v>
      </c>
      <c r="AC52" s="8" t="s">
        <v>0</v>
      </c>
      <c r="AD52" s="8" t="s">
        <v>0</v>
      </c>
      <c r="AE52" s="8" t="s">
        <v>0</v>
      </c>
      <c r="AF52" s="8" t="s">
        <v>0</v>
      </c>
      <c r="AG52" s="8" t="s">
        <v>0</v>
      </c>
      <c r="AH52" s="8" t="s">
        <v>0</v>
      </c>
      <c r="AI52" s="8" t="s">
        <v>0</v>
      </c>
      <c r="AJ52" s="8" t="s">
        <v>0</v>
      </c>
      <c r="AK52" s="8" t="s">
        <v>0</v>
      </c>
      <c r="AL52" s="8" t="s">
        <v>0</v>
      </c>
      <c r="AM52" s="8" t="s">
        <v>0</v>
      </c>
      <c r="AN52" s="8" t="s">
        <v>0</v>
      </c>
    </row>
    <row r="53" spans="1:40" ht="22.5">
      <c r="A53" s="2" t="s">
        <v>26</v>
      </c>
      <c r="B53" s="2" t="s">
        <v>588</v>
      </c>
      <c r="C53" s="2" t="s">
        <v>442</v>
      </c>
      <c r="D53" s="2" t="s">
        <v>489</v>
      </c>
      <c r="E53" s="2" t="s">
        <v>444</v>
      </c>
      <c r="F53" s="2" t="s">
        <v>445</v>
      </c>
      <c r="G53" s="2" t="s">
        <v>924</v>
      </c>
      <c r="H53" s="2" t="s">
        <v>533</v>
      </c>
      <c r="I53" s="2" t="s">
        <v>0</v>
      </c>
      <c r="J53" s="2" t="s">
        <v>0</v>
      </c>
      <c r="K53" s="2" t="s">
        <v>0</v>
      </c>
      <c r="L53" s="2" t="s">
        <v>589</v>
      </c>
      <c r="M53" s="2" t="s">
        <v>27</v>
      </c>
      <c r="N53" s="2" t="s">
        <v>30</v>
      </c>
      <c r="O53" s="2" t="s">
        <v>28</v>
      </c>
      <c r="P53" s="2" t="s">
        <v>29</v>
      </c>
      <c r="Q53" s="2">
        <v>34</v>
      </c>
      <c r="R53" s="2">
        <v>12</v>
      </c>
      <c r="S53" s="2">
        <v>0</v>
      </c>
      <c r="T53" s="2">
        <v>0</v>
      </c>
      <c r="U53" s="2">
        <v>0</v>
      </c>
      <c r="V53" s="2">
        <v>10</v>
      </c>
      <c r="W53" s="2">
        <v>28</v>
      </c>
      <c r="X53" s="2">
        <v>1</v>
      </c>
      <c r="Y53" s="2">
        <v>18</v>
      </c>
      <c r="Z53" s="8" t="s">
        <v>0</v>
      </c>
      <c r="AA53" s="8" t="s">
        <v>0</v>
      </c>
      <c r="AB53" s="8" t="s">
        <v>0</v>
      </c>
      <c r="AC53" s="8" t="s">
        <v>0</v>
      </c>
      <c r="AD53" s="8" t="s">
        <v>0</v>
      </c>
      <c r="AE53" s="8" t="s">
        <v>0</v>
      </c>
      <c r="AF53" s="8" t="s">
        <v>0</v>
      </c>
      <c r="AG53" s="8" t="s">
        <v>0</v>
      </c>
      <c r="AH53" s="8" t="s">
        <v>0</v>
      </c>
      <c r="AI53" s="8" t="s">
        <v>0</v>
      </c>
      <c r="AJ53" s="8" t="s">
        <v>0</v>
      </c>
      <c r="AK53" s="8" t="s">
        <v>0</v>
      </c>
      <c r="AL53" s="8" t="s">
        <v>0</v>
      </c>
      <c r="AM53" s="8" t="s">
        <v>0</v>
      </c>
      <c r="AN53" s="8" t="s">
        <v>0</v>
      </c>
    </row>
    <row r="54" spans="1:40" ht="22.5">
      <c r="A54" s="2" t="s">
        <v>26</v>
      </c>
      <c r="B54" s="2" t="s">
        <v>590</v>
      </c>
      <c r="C54" s="2" t="s">
        <v>477</v>
      </c>
      <c r="D54" s="2" t="s">
        <v>489</v>
      </c>
      <c r="E54" s="2" t="s">
        <v>444</v>
      </c>
      <c r="F54" s="2" t="s">
        <v>445</v>
      </c>
      <c r="G54" s="2" t="s">
        <v>924</v>
      </c>
      <c r="H54" s="2" t="s">
        <v>533</v>
      </c>
      <c r="I54" s="2" t="s">
        <v>0</v>
      </c>
      <c r="J54" s="2" t="s">
        <v>0</v>
      </c>
      <c r="K54" s="2" t="s">
        <v>0</v>
      </c>
      <c r="L54" s="2" t="s">
        <v>591</v>
      </c>
      <c r="M54" s="2" t="s">
        <v>27</v>
      </c>
      <c r="N54" s="2" t="s">
        <v>30</v>
      </c>
      <c r="O54" s="2" t="s">
        <v>28</v>
      </c>
      <c r="P54" s="2" t="s">
        <v>29</v>
      </c>
      <c r="Q54" s="2">
        <v>34</v>
      </c>
      <c r="R54" s="2">
        <v>12</v>
      </c>
      <c r="S54" s="2">
        <v>0</v>
      </c>
      <c r="T54" s="2">
        <v>0</v>
      </c>
      <c r="U54" s="2">
        <v>0</v>
      </c>
      <c r="V54" s="2">
        <v>10</v>
      </c>
      <c r="W54" s="2">
        <v>28</v>
      </c>
      <c r="X54" s="2">
        <v>1</v>
      </c>
      <c r="Y54" s="2">
        <v>18</v>
      </c>
      <c r="Z54" s="8" t="s">
        <v>0</v>
      </c>
      <c r="AA54" s="8" t="s">
        <v>0</v>
      </c>
      <c r="AB54" s="8" t="s">
        <v>0</v>
      </c>
      <c r="AC54" s="8" t="s">
        <v>0</v>
      </c>
      <c r="AD54" s="8" t="s">
        <v>0</v>
      </c>
      <c r="AE54" s="8" t="s">
        <v>0</v>
      </c>
      <c r="AF54" s="8" t="s">
        <v>0</v>
      </c>
      <c r="AG54" s="8" t="s">
        <v>0</v>
      </c>
      <c r="AH54" s="8" t="s">
        <v>0</v>
      </c>
      <c r="AI54" s="8" t="s">
        <v>0</v>
      </c>
      <c r="AJ54" s="8" t="s">
        <v>0</v>
      </c>
      <c r="AK54" s="8" t="s">
        <v>0</v>
      </c>
      <c r="AL54" s="8" t="s">
        <v>0</v>
      </c>
      <c r="AM54" s="8" t="s">
        <v>0</v>
      </c>
      <c r="AN54" s="8" t="s">
        <v>0</v>
      </c>
    </row>
    <row r="55" spans="1:40" ht="22.5">
      <c r="A55" s="2" t="s">
        <v>26</v>
      </c>
      <c r="B55" s="2" t="s">
        <v>592</v>
      </c>
      <c r="C55" s="2" t="s">
        <v>473</v>
      </c>
      <c r="D55" s="2" t="s">
        <v>463</v>
      </c>
      <c r="E55" s="2" t="s">
        <v>444</v>
      </c>
      <c r="F55" s="2" t="s">
        <v>445</v>
      </c>
      <c r="G55" s="2" t="s">
        <v>924</v>
      </c>
      <c r="H55" s="2" t="s">
        <v>533</v>
      </c>
      <c r="I55" s="2" t="s">
        <v>0</v>
      </c>
      <c r="J55" s="2" t="s">
        <v>0</v>
      </c>
      <c r="K55" s="2" t="s">
        <v>0</v>
      </c>
      <c r="L55" s="2" t="s">
        <v>593</v>
      </c>
      <c r="M55" s="2" t="s">
        <v>27</v>
      </c>
      <c r="N55" s="2" t="s">
        <v>30</v>
      </c>
      <c r="O55" s="2" t="s">
        <v>28</v>
      </c>
      <c r="P55" s="2" t="s">
        <v>29</v>
      </c>
      <c r="Q55" s="2">
        <v>34</v>
      </c>
      <c r="R55" s="2">
        <v>12</v>
      </c>
      <c r="S55" s="2">
        <v>0</v>
      </c>
      <c r="T55" s="2">
        <v>0</v>
      </c>
      <c r="U55" s="2">
        <v>0</v>
      </c>
      <c r="V55" s="2">
        <v>10</v>
      </c>
      <c r="W55" s="2">
        <v>28</v>
      </c>
      <c r="X55" s="2">
        <v>1</v>
      </c>
      <c r="Y55" s="2">
        <v>18</v>
      </c>
      <c r="Z55" s="8" t="s">
        <v>0</v>
      </c>
      <c r="AA55" s="8" t="s">
        <v>0</v>
      </c>
      <c r="AB55" s="8" t="s">
        <v>0</v>
      </c>
      <c r="AC55" s="8" t="s">
        <v>0</v>
      </c>
      <c r="AD55" s="8" t="s">
        <v>0</v>
      </c>
      <c r="AE55" s="8" t="s">
        <v>0</v>
      </c>
      <c r="AF55" s="8" t="s">
        <v>0</v>
      </c>
      <c r="AG55" s="8" t="s">
        <v>0</v>
      </c>
      <c r="AH55" s="8" t="s">
        <v>0</v>
      </c>
      <c r="AI55" s="8" t="s">
        <v>0</v>
      </c>
      <c r="AJ55" s="8" t="s">
        <v>0</v>
      </c>
      <c r="AK55" s="8" t="s">
        <v>0</v>
      </c>
      <c r="AL55" s="8" t="s">
        <v>0</v>
      </c>
      <c r="AM55" s="8" t="s">
        <v>0</v>
      </c>
      <c r="AN55" s="8" t="s">
        <v>0</v>
      </c>
    </row>
    <row r="56" spans="1:40" ht="22.5">
      <c r="A56" s="2" t="s">
        <v>26</v>
      </c>
      <c r="B56" s="2" t="s">
        <v>594</v>
      </c>
      <c r="C56" s="2" t="s">
        <v>466</v>
      </c>
      <c r="D56" s="2" t="s">
        <v>463</v>
      </c>
      <c r="E56" s="2" t="s">
        <v>444</v>
      </c>
      <c r="F56" s="2" t="s">
        <v>445</v>
      </c>
      <c r="G56" s="2" t="s">
        <v>924</v>
      </c>
      <c r="H56" s="2" t="s">
        <v>533</v>
      </c>
      <c r="I56" s="2" t="s">
        <v>0</v>
      </c>
      <c r="J56" s="2" t="s">
        <v>0</v>
      </c>
      <c r="K56" s="2" t="s">
        <v>0</v>
      </c>
      <c r="L56" s="2" t="s">
        <v>595</v>
      </c>
      <c r="M56" s="2" t="s">
        <v>27</v>
      </c>
      <c r="N56" s="2" t="s">
        <v>30</v>
      </c>
      <c r="O56" s="2" t="s">
        <v>28</v>
      </c>
      <c r="P56" s="2" t="s">
        <v>29</v>
      </c>
      <c r="Q56" s="2">
        <v>34</v>
      </c>
      <c r="R56" s="2">
        <v>12</v>
      </c>
      <c r="S56" s="2">
        <v>0</v>
      </c>
      <c r="T56" s="2">
        <v>0</v>
      </c>
      <c r="U56" s="2">
        <v>0</v>
      </c>
      <c r="V56" s="2">
        <v>10</v>
      </c>
      <c r="W56" s="2">
        <v>28</v>
      </c>
      <c r="X56" s="2">
        <v>1</v>
      </c>
      <c r="Y56" s="2">
        <v>18</v>
      </c>
      <c r="Z56" s="8" t="s">
        <v>0</v>
      </c>
      <c r="AA56" s="8" t="s">
        <v>0</v>
      </c>
      <c r="AB56" s="8" t="s">
        <v>0</v>
      </c>
      <c r="AC56" s="8" t="s">
        <v>0</v>
      </c>
      <c r="AD56" s="8" t="s">
        <v>0</v>
      </c>
      <c r="AE56" s="8" t="s">
        <v>0</v>
      </c>
      <c r="AF56" s="8" t="s">
        <v>0</v>
      </c>
      <c r="AG56" s="8" t="s">
        <v>0</v>
      </c>
      <c r="AH56" s="8" t="s">
        <v>0</v>
      </c>
      <c r="AI56" s="8" t="s">
        <v>0</v>
      </c>
      <c r="AJ56" s="8" t="s">
        <v>0</v>
      </c>
      <c r="AK56" s="8" t="s">
        <v>0</v>
      </c>
      <c r="AL56" s="8" t="s">
        <v>0</v>
      </c>
      <c r="AM56" s="8" t="s">
        <v>0</v>
      </c>
      <c r="AN56" s="8" t="s">
        <v>0</v>
      </c>
    </row>
    <row r="57" spans="1:40" ht="22.5">
      <c r="A57" s="2" t="s">
        <v>26</v>
      </c>
      <c r="B57" s="2" t="s">
        <v>596</v>
      </c>
      <c r="C57" s="2" t="s">
        <v>484</v>
      </c>
      <c r="D57" s="2" t="s">
        <v>463</v>
      </c>
      <c r="E57" s="2" t="s">
        <v>444</v>
      </c>
      <c r="F57" s="2" t="s">
        <v>445</v>
      </c>
      <c r="G57" s="2" t="s">
        <v>924</v>
      </c>
      <c r="H57" s="2" t="s">
        <v>533</v>
      </c>
      <c r="I57" s="2" t="s">
        <v>0</v>
      </c>
      <c r="J57" s="2" t="s">
        <v>0</v>
      </c>
      <c r="K57" s="2" t="s">
        <v>0</v>
      </c>
      <c r="L57" s="2" t="s">
        <v>597</v>
      </c>
      <c r="M57" s="2" t="s">
        <v>27</v>
      </c>
      <c r="N57" s="2" t="s">
        <v>30</v>
      </c>
      <c r="O57" s="2" t="s">
        <v>28</v>
      </c>
      <c r="P57" s="2" t="s">
        <v>29</v>
      </c>
      <c r="Q57" s="2">
        <v>34</v>
      </c>
      <c r="R57" s="2">
        <v>12</v>
      </c>
      <c r="S57" s="2">
        <v>0</v>
      </c>
      <c r="T57" s="2">
        <v>0</v>
      </c>
      <c r="U57" s="2">
        <v>0</v>
      </c>
      <c r="V57" s="2">
        <v>10</v>
      </c>
      <c r="W57" s="2">
        <v>28</v>
      </c>
      <c r="X57" s="2">
        <v>1</v>
      </c>
      <c r="Y57" s="2">
        <v>18</v>
      </c>
      <c r="Z57" s="8" t="s">
        <v>0</v>
      </c>
      <c r="AA57" s="8" t="s">
        <v>0</v>
      </c>
      <c r="AB57" s="8" t="s">
        <v>0</v>
      </c>
      <c r="AC57" s="8" t="s">
        <v>0</v>
      </c>
      <c r="AD57" s="8" t="s">
        <v>0</v>
      </c>
      <c r="AE57" s="8" t="s">
        <v>0</v>
      </c>
      <c r="AF57" s="8" t="s">
        <v>0</v>
      </c>
      <c r="AG57" s="8" t="s">
        <v>0</v>
      </c>
      <c r="AH57" s="8" t="s">
        <v>0</v>
      </c>
      <c r="AI57" s="8" t="s">
        <v>0</v>
      </c>
      <c r="AJ57" s="8" t="s">
        <v>0</v>
      </c>
      <c r="AK57" s="8" t="s">
        <v>0</v>
      </c>
      <c r="AL57" s="8" t="s">
        <v>0</v>
      </c>
      <c r="AM57" s="8" t="s">
        <v>0</v>
      </c>
      <c r="AN57" s="8" t="s">
        <v>0</v>
      </c>
    </row>
    <row r="58" spans="1:40" ht="22.5">
      <c r="A58" s="2" t="s">
        <v>121</v>
      </c>
      <c r="B58" s="2" t="s">
        <v>598</v>
      </c>
      <c r="C58" s="2" t="s">
        <v>525</v>
      </c>
      <c r="D58" s="2" t="s">
        <v>492</v>
      </c>
      <c r="E58" s="2" t="s">
        <v>444</v>
      </c>
      <c r="F58" s="2" t="s">
        <v>445</v>
      </c>
      <c r="G58" s="2" t="s">
        <v>924</v>
      </c>
      <c r="H58" s="2" t="s">
        <v>533</v>
      </c>
      <c r="I58" s="2" t="s">
        <v>0</v>
      </c>
      <c r="J58" s="2" t="s">
        <v>0</v>
      </c>
      <c r="K58" s="2" t="s">
        <v>0</v>
      </c>
      <c r="L58" s="2" t="s">
        <v>599</v>
      </c>
      <c r="M58" s="2" t="s">
        <v>27</v>
      </c>
      <c r="N58" s="2" t="s">
        <v>30</v>
      </c>
      <c r="O58" s="2" t="s">
        <v>28</v>
      </c>
      <c r="P58" s="2" t="s">
        <v>29</v>
      </c>
      <c r="Q58" s="2">
        <v>34</v>
      </c>
      <c r="R58" s="2">
        <v>12</v>
      </c>
      <c r="S58" s="2">
        <v>0</v>
      </c>
      <c r="T58" s="2">
        <v>0</v>
      </c>
      <c r="U58" s="2">
        <v>0</v>
      </c>
      <c r="V58" s="2">
        <v>10</v>
      </c>
      <c r="W58" s="2">
        <v>28</v>
      </c>
      <c r="X58" s="2">
        <v>1</v>
      </c>
      <c r="Y58" s="2">
        <v>18</v>
      </c>
      <c r="Z58" s="8" t="s">
        <v>0</v>
      </c>
      <c r="AA58" s="8" t="s">
        <v>0</v>
      </c>
      <c r="AB58" s="8" t="s">
        <v>0</v>
      </c>
      <c r="AC58" s="8" t="s">
        <v>0</v>
      </c>
      <c r="AD58" s="8" t="s">
        <v>0</v>
      </c>
      <c r="AE58" s="8" t="s">
        <v>0</v>
      </c>
      <c r="AF58" s="8" t="s">
        <v>0</v>
      </c>
      <c r="AG58" s="8" t="s">
        <v>0</v>
      </c>
      <c r="AH58" s="8" t="s">
        <v>0</v>
      </c>
      <c r="AI58" s="8" t="s">
        <v>0</v>
      </c>
      <c r="AJ58" s="8" t="s">
        <v>0</v>
      </c>
      <c r="AK58" s="8" t="s">
        <v>0</v>
      </c>
      <c r="AL58" s="8" t="s">
        <v>0</v>
      </c>
      <c r="AM58" s="8" t="s">
        <v>0</v>
      </c>
      <c r="AN58" s="8" t="s">
        <v>0</v>
      </c>
    </row>
    <row r="59" spans="1:40" ht="22.5">
      <c r="A59" s="2" t="s">
        <v>121</v>
      </c>
      <c r="B59" s="2" t="s">
        <v>600</v>
      </c>
      <c r="C59" s="2" t="s">
        <v>449</v>
      </c>
      <c r="D59" s="2" t="s">
        <v>492</v>
      </c>
      <c r="E59" s="2" t="s">
        <v>444</v>
      </c>
      <c r="F59" s="2" t="s">
        <v>445</v>
      </c>
      <c r="G59" s="2" t="s">
        <v>924</v>
      </c>
      <c r="H59" s="2" t="s">
        <v>533</v>
      </c>
      <c r="I59" s="2" t="s">
        <v>0</v>
      </c>
      <c r="J59" s="2" t="s">
        <v>0</v>
      </c>
      <c r="K59" s="2" t="s">
        <v>0</v>
      </c>
      <c r="L59" s="2" t="s">
        <v>601</v>
      </c>
      <c r="M59" s="2" t="s">
        <v>27</v>
      </c>
      <c r="N59" s="2" t="s">
        <v>30</v>
      </c>
      <c r="O59" s="2" t="s">
        <v>28</v>
      </c>
      <c r="P59" s="2" t="s">
        <v>29</v>
      </c>
      <c r="Q59" s="2">
        <v>34</v>
      </c>
      <c r="R59" s="2">
        <v>12</v>
      </c>
      <c r="S59" s="2">
        <v>0</v>
      </c>
      <c r="T59" s="2">
        <v>0</v>
      </c>
      <c r="U59" s="2">
        <v>0</v>
      </c>
      <c r="V59" s="2">
        <v>10</v>
      </c>
      <c r="W59" s="2">
        <v>28</v>
      </c>
      <c r="X59" s="2">
        <v>1</v>
      </c>
      <c r="Y59" s="2">
        <v>18</v>
      </c>
      <c r="Z59" s="8" t="s">
        <v>0</v>
      </c>
      <c r="AA59" s="8" t="s">
        <v>0</v>
      </c>
      <c r="AB59" s="8" t="s">
        <v>0</v>
      </c>
      <c r="AC59" s="8" t="s">
        <v>0</v>
      </c>
      <c r="AD59" s="8" t="s">
        <v>0</v>
      </c>
      <c r="AE59" s="8" t="s">
        <v>0</v>
      </c>
      <c r="AF59" s="8" t="s">
        <v>0</v>
      </c>
      <c r="AG59" s="8" t="s">
        <v>0</v>
      </c>
      <c r="AH59" s="8" t="s">
        <v>0</v>
      </c>
      <c r="AI59" s="8" t="s">
        <v>0</v>
      </c>
      <c r="AJ59" s="8" t="s">
        <v>0</v>
      </c>
      <c r="AK59" s="8" t="s">
        <v>0</v>
      </c>
      <c r="AL59" s="8" t="s">
        <v>0</v>
      </c>
      <c r="AM59" s="8" t="s">
        <v>0</v>
      </c>
      <c r="AN59" s="8" t="s">
        <v>0</v>
      </c>
    </row>
    <row r="60" spans="1:40" ht="22.5">
      <c r="A60" s="2" t="s">
        <v>121</v>
      </c>
      <c r="B60" s="2" t="s">
        <v>602</v>
      </c>
      <c r="C60" s="2" t="s">
        <v>571</v>
      </c>
      <c r="D60" s="2" t="s">
        <v>492</v>
      </c>
      <c r="E60" s="2" t="s">
        <v>444</v>
      </c>
      <c r="F60" s="2" t="s">
        <v>445</v>
      </c>
      <c r="G60" s="2" t="s">
        <v>924</v>
      </c>
      <c r="H60" s="2" t="s">
        <v>533</v>
      </c>
      <c r="I60" s="2" t="s">
        <v>0</v>
      </c>
      <c r="J60" s="2" t="s">
        <v>0</v>
      </c>
      <c r="K60" s="2" t="s">
        <v>0</v>
      </c>
      <c r="L60" s="2" t="s">
        <v>603</v>
      </c>
      <c r="M60" s="2" t="s">
        <v>27</v>
      </c>
      <c r="N60" s="2" t="s">
        <v>30</v>
      </c>
      <c r="O60" s="2" t="s">
        <v>28</v>
      </c>
      <c r="P60" s="2" t="s">
        <v>29</v>
      </c>
      <c r="Q60" s="2">
        <v>34</v>
      </c>
      <c r="R60" s="2">
        <v>12</v>
      </c>
      <c r="S60" s="2">
        <v>0</v>
      </c>
      <c r="T60" s="2">
        <v>0</v>
      </c>
      <c r="U60" s="2">
        <v>0</v>
      </c>
      <c r="V60" s="2">
        <v>10</v>
      </c>
      <c r="W60" s="2">
        <v>28</v>
      </c>
      <c r="X60" s="2">
        <v>1</v>
      </c>
      <c r="Y60" s="2">
        <v>18</v>
      </c>
      <c r="Z60" s="8" t="s">
        <v>0</v>
      </c>
      <c r="AA60" s="8" t="s">
        <v>0</v>
      </c>
      <c r="AB60" s="8" t="s">
        <v>0</v>
      </c>
      <c r="AC60" s="8" t="s">
        <v>0</v>
      </c>
      <c r="AD60" s="8" t="s">
        <v>0</v>
      </c>
      <c r="AE60" s="8" t="s">
        <v>0</v>
      </c>
      <c r="AF60" s="8" t="s">
        <v>0</v>
      </c>
      <c r="AG60" s="8" t="s">
        <v>0</v>
      </c>
      <c r="AH60" s="8" t="s">
        <v>0</v>
      </c>
      <c r="AI60" s="8" t="s">
        <v>0</v>
      </c>
      <c r="AJ60" s="8" t="s">
        <v>0</v>
      </c>
      <c r="AK60" s="8" t="s">
        <v>0</v>
      </c>
      <c r="AL60" s="8" t="s">
        <v>0</v>
      </c>
      <c r="AM60" s="8" t="s">
        <v>0</v>
      </c>
      <c r="AN60" s="8" t="s">
        <v>0</v>
      </c>
    </row>
    <row r="61" spans="1:40" ht="22.5">
      <c r="A61" s="2" t="s">
        <v>26</v>
      </c>
      <c r="B61" s="2" t="s">
        <v>604</v>
      </c>
      <c r="C61" s="2" t="s">
        <v>566</v>
      </c>
      <c r="D61" s="2" t="s">
        <v>605</v>
      </c>
      <c r="E61" s="2" t="s">
        <v>444</v>
      </c>
      <c r="F61" s="2" t="s">
        <v>445</v>
      </c>
      <c r="G61" s="2" t="s">
        <v>924</v>
      </c>
      <c r="H61" s="2" t="s">
        <v>533</v>
      </c>
      <c r="I61" s="2" t="s">
        <v>0</v>
      </c>
      <c r="J61" s="2" t="s">
        <v>0</v>
      </c>
      <c r="K61" s="2" t="s">
        <v>0</v>
      </c>
      <c r="L61" s="2" t="s">
        <v>606</v>
      </c>
      <c r="M61" s="2" t="s">
        <v>27</v>
      </c>
      <c r="N61" s="2" t="s">
        <v>30</v>
      </c>
      <c r="O61" s="2" t="s">
        <v>28</v>
      </c>
      <c r="P61" s="2" t="s">
        <v>29</v>
      </c>
      <c r="Q61" s="2">
        <v>34</v>
      </c>
      <c r="R61" s="2">
        <v>12</v>
      </c>
      <c r="S61" s="2">
        <v>0</v>
      </c>
      <c r="T61" s="2">
        <v>0</v>
      </c>
      <c r="U61" s="2">
        <v>0</v>
      </c>
      <c r="V61" s="2">
        <v>10</v>
      </c>
      <c r="W61" s="2">
        <v>28</v>
      </c>
      <c r="X61" s="2">
        <v>1</v>
      </c>
      <c r="Y61" s="2">
        <v>18</v>
      </c>
      <c r="Z61" s="8" t="s">
        <v>0</v>
      </c>
      <c r="AA61" s="8" t="s">
        <v>0</v>
      </c>
      <c r="AB61" s="8" t="s">
        <v>0</v>
      </c>
      <c r="AC61" s="8" t="s">
        <v>0</v>
      </c>
      <c r="AD61" s="8" t="s">
        <v>0</v>
      </c>
      <c r="AE61" s="8" t="s">
        <v>0</v>
      </c>
      <c r="AF61" s="8" t="s">
        <v>0</v>
      </c>
      <c r="AG61" s="8" t="s">
        <v>0</v>
      </c>
      <c r="AH61" s="8" t="s">
        <v>0</v>
      </c>
      <c r="AI61" s="8" t="s">
        <v>0</v>
      </c>
      <c r="AJ61" s="8" t="s">
        <v>0</v>
      </c>
      <c r="AK61" s="8" t="s">
        <v>0</v>
      </c>
      <c r="AL61" s="8" t="s">
        <v>0</v>
      </c>
      <c r="AM61" s="8" t="s">
        <v>0</v>
      </c>
      <c r="AN61" s="8" t="s">
        <v>0</v>
      </c>
    </row>
    <row r="62" spans="1:40" ht="22.5">
      <c r="A62" s="2" t="s">
        <v>26</v>
      </c>
      <c r="B62" s="2" t="s">
        <v>607</v>
      </c>
      <c r="C62" s="2" t="s">
        <v>455</v>
      </c>
      <c r="D62" s="2" t="s">
        <v>605</v>
      </c>
      <c r="E62" s="2" t="s">
        <v>444</v>
      </c>
      <c r="F62" s="2" t="s">
        <v>445</v>
      </c>
      <c r="G62" s="2" t="s">
        <v>924</v>
      </c>
      <c r="H62" s="2" t="s">
        <v>533</v>
      </c>
      <c r="I62" s="2" t="s">
        <v>0</v>
      </c>
      <c r="J62" s="2" t="s">
        <v>0</v>
      </c>
      <c r="K62" s="2" t="s">
        <v>0</v>
      </c>
      <c r="L62" s="2" t="s">
        <v>608</v>
      </c>
      <c r="M62" s="2" t="s">
        <v>27</v>
      </c>
      <c r="N62" s="2" t="s">
        <v>30</v>
      </c>
      <c r="O62" s="2" t="s">
        <v>28</v>
      </c>
      <c r="P62" s="2" t="s">
        <v>29</v>
      </c>
      <c r="Q62" s="2">
        <v>34</v>
      </c>
      <c r="R62" s="2">
        <v>12</v>
      </c>
      <c r="S62" s="2">
        <v>0</v>
      </c>
      <c r="T62" s="2">
        <v>0</v>
      </c>
      <c r="U62" s="2">
        <v>0</v>
      </c>
      <c r="V62" s="2">
        <v>10</v>
      </c>
      <c r="W62" s="2">
        <v>28</v>
      </c>
      <c r="X62" s="2">
        <v>1</v>
      </c>
      <c r="Y62" s="2">
        <v>18</v>
      </c>
      <c r="Z62" s="8" t="s">
        <v>0</v>
      </c>
      <c r="AA62" s="8" t="s">
        <v>0</v>
      </c>
      <c r="AB62" s="8" t="s">
        <v>0</v>
      </c>
      <c r="AC62" s="8" t="s">
        <v>0</v>
      </c>
      <c r="AD62" s="8" t="s">
        <v>0</v>
      </c>
      <c r="AE62" s="8" t="s">
        <v>0</v>
      </c>
      <c r="AF62" s="8" t="s">
        <v>0</v>
      </c>
      <c r="AG62" s="8" t="s">
        <v>0</v>
      </c>
      <c r="AH62" s="8" t="s">
        <v>0</v>
      </c>
      <c r="AI62" s="8" t="s">
        <v>0</v>
      </c>
      <c r="AJ62" s="8" t="s">
        <v>0</v>
      </c>
      <c r="AK62" s="8" t="s">
        <v>0</v>
      </c>
      <c r="AL62" s="8" t="s">
        <v>0</v>
      </c>
      <c r="AM62" s="8" t="s">
        <v>0</v>
      </c>
      <c r="AN62" s="8" t="s">
        <v>0</v>
      </c>
    </row>
    <row r="63" spans="1:40" ht="22.5">
      <c r="A63" s="2" t="s">
        <v>26</v>
      </c>
      <c r="B63" s="2" t="s">
        <v>609</v>
      </c>
      <c r="C63" s="2" t="s">
        <v>495</v>
      </c>
      <c r="D63" s="2" t="s">
        <v>605</v>
      </c>
      <c r="E63" s="2" t="s">
        <v>444</v>
      </c>
      <c r="F63" s="2" t="s">
        <v>445</v>
      </c>
      <c r="G63" s="2" t="s">
        <v>924</v>
      </c>
      <c r="H63" s="2" t="s">
        <v>533</v>
      </c>
      <c r="I63" s="2" t="s">
        <v>0</v>
      </c>
      <c r="J63" s="2" t="s">
        <v>0</v>
      </c>
      <c r="K63" s="2" t="s">
        <v>0</v>
      </c>
      <c r="L63" s="2" t="s">
        <v>610</v>
      </c>
      <c r="M63" s="2" t="s">
        <v>27</v>
      </c>
      <c r="N63" s="2" t="s">
        <v>30</v>
      </c>
      <c r="O63" s="2" t="s">
        <v>28</v>
      </c>
      <c r="P63" s="2" t="s">
        <v>29</v>
      </c>
      <c r="Q63" s="2">
        <v>34</v>
      </c>
      <c r="R63" s="2">
        <v>12</v>
      </c>
      <c r="S63" s="2">
        <v>0</v>
      </c>
      <c r="T63" s="2">
        <v>0</v>
      </c>
      <c r="U63" s="2">
        <v>0</v>
      </c>
      <c r="V63" s="2">
        <v>10</v>
      </c>
      <c r="W63" s="2">
        <v>28</v>
      </c>
      <c r="X63" s="2">
        <v>1</v>
      </c>
      <c r="Y63" s="2">
        <v>18</v>
      </c>
      <c r="Z63" s="8" t="s">
        <v>0</v>
      </c>
      <c r="AA63" s="8" t="s">
        <v>0</v>
      </c>
      <c r="AB63" s="8" t="s">
        <v>0</v>
      </c>
      <c r="AC63" s="8" t="s">
        <v>0</v>
      </c>
      <c r="AD63" s="8" t="s">
        <v>0</v>
      </c>
      <c r="AE63" s="8" t="s">
        <v>0</v>
      </c>
      <c r="AF63" s="8" t="s">
        <v>0</v>
      </c>
      <c r="AG63" s="8" t="s">
        <v>0</v>
      </c>
      <c r="AH63" s="8" t="s">
        <v>0</v>
      </c>
      <c r="AI63" s="8" t="s">
        <v>0</v>
      </c>
      <c r="AJ63" s="8" t="s">
        <v>0</v>
      </c>
      <c r="AK63" s="8" t="s">
        <v>0</v>
      </c>
      <c r="AL63" s="8" t="s">
        <v>0</v>
      </c>
      <c r="AM63" s="8" t="s">
        <v>0</v>
      </c>
      <c r="AN63" s="8" t="s">
        <v>0</v>
      </c>
    </row>
    <row r="64" spans="1:40" ht="22.5">
      <c r="A64" s="2" t="s">
        <v>26</v>
      </c>
      <c r="B64" s="2" t="s">
        <v>611</v>
      </c>
      <c r="C64" s="2" t="s">
        <v>462</v>
      </c>
      <c r="D64" s="2" t="s">
        <v>605</v>
      </c>
      <c r="E64" s="2" t="s">
        <v>444</v>
      </c>
      <c r="F64" s="2" t="s">
        <v>445</v>
      </c>
      <c r="G64" s="2" t="s">
        <v>924</v>
      </c>
      <c r="H64" s="2" t="s">
        <v>533</v>
      </c>
      <c r="I64" s="2" t="s">
        <v>0</v>
      </c>
      <c r="J64" s="2" t="s">
        <v>0</v>
      </c>
      <c r="K64" s="2" t="s">
        <v>0</v>
      </c>
      <c r="L64" s="2" t="s">
        <v>612</v>
      </c>
      <c r="M64" s="2" t="s">
        <v>27</v>
      </c>
      <c r="N64" s="2" t="s">
        <v>30</v>
      </c>
      <c r="O64" s="2" t="s">
        <v>28</v>
      </c>
      <c r="P64" s="2" t="s">
        <v>29</v>
      </c>
      <c r="Q64" s="2">
        <v>34</v>
      </c>
      <c r="R64" s="2">
        <v>12</v>
      </c>
      <c r="S64" s="2">
        <v>0</v>
      </c>
      <c r="T64" s="2">
        <v>0</v>
      </c>
      <c r="U64" s="2">
        <v>0</v>
      </c>
      <c r="V64" s="2">
        <v>10</v>
      </c>
      <c r="W64" s="2">
        <v>28</v>
      </c>
      <c r="X64" s="2">
        <v>1</v>
      </c>
      <c r="Y64" s="2">
        <v>18</v>
      </c>
      <c r="Z64" s="8" t="s">
        <v>0</v>
      </c>
      <c r="AA64" s="8" t="s">
        <v>0</v>
      </c>
      <c r="AB64" s="8" t="s">
        <v>0</v>
      </c>
      <c r="AC64" s="8" t="s">
        <v>0</v>
      </c>
      <c r="AD64" s="8" t="s">
        <v>0</v>
      </c>
      <c r="AE64" s="8" t="s">
        <v>0</v>
      </c>
      <c r="AF64" s="8" t="s">
        <v>0</v>
      </c>
      <c r="AG64" s="8" t="s">
        <v>0</v>
      </c>
      <c r="AH64" s="8" t="s">
        <v>0</v>
      </c>
      <c r="AI64" s="8" t="s">
        <v>0</v>
      </c>
      <c r="AJ64" s="8" t="s">
        <v>0</v>
      </c>
      <c r="AK64" s="8" t="s">
        <v>0</v>
      </c>
      <c r="AL64" s="8" t="s">
        <v>0</v>
      </c>
      <c r="AM64" s="8" t="s">
        <v>0</v>
      </c>
      <c r="AN64" s="8" t="s">
        <v>0</v>
      </c>
    </row>
    <row r="65" spans="1:40" ht="22.5">
      <c r="A65" s="2" t="s">
        <v>26</v>
      </c>
      <c r="B65" s="2" t="s">
        <v>613</v>
      </c>
      <c r="C65" s="2" t="s">
        <v>545</v>
      </c>
      <c r="D65" s="2" t="s">
        <v>605</v>
      </c>
      <c r="E65" s="2" t="s">
        <v>444</v>
      </c>
      <c r="F65" s="2" t="s">
        <v>445</v>
      </c>
      <c r="G65" s="2" t="s">
        <v>924</v>
      </c>
      <c r="H65" s="2" t="s">
        <v>533</v>
      </c>
      <c r="I65" s="2" t="s">
        <v>0</v>
      </c>
      <c r="J65" s="2" t="s">
        <v>0</v>
      </c>
      <c r="K65" s="2" t="s">
        <v>0</v>
      </c>
      <c r="L65" s="2" t="s">
        <v>614</v>
      </c>
      <c r="M65" s="2" t="s">
        <v>27</v>
      </c>
      <c r="N65" s="2" t="s">
        <v>30</v>
      </c>
      <c r="O65" s="2" t="s">
        <v>28</v>
      </c>
      <c r="P65" s="2" t="s">
        <v>29</v>
      </c>
      <c r="Q65" s="2">
        <v>34</v>
      </c>
      <c r="R65" s="2">
        <v>12</v>
      </c>
      <c r="S65" s="2">
        <v>0</v>
      </c>
      <c r="T65" s="2">
        <v>0</v>
      </c>
      <c r="U65" s="2">
        <v>0</v>
      </c>
      <c r="V65" s="2">
        <v>10</v>
      </c>
      <c r="W65" s="2">
        <v>28</v>
      </c>
      <c r="X65" s="2">
        <v>1</v>
      </c>
      <c r="Y65" s="2">
        <v>18</v>
      </c>
      <c r="Z65" s="8" t="s">
        <v>0</v>
      </c>
      <c r="AA65" s="8" t="s">
        <v>0</v>
      </c>
      <c r="AB65" s="8" t="s">
        <v>0</v>
      </c>
      <c r="AC65" s="8" t="s">
        <v>0</v>
      </c>
      <c r="AD65" s="8" t="s">
        <v>0</v>
      </c>
      <c r="AE65" s="8" t="s">
        <v>0</v>
      </c>
      <c r="AF65" s="8" t="s">
        <v>0</v>
      </c>
      <c r="AG65" s="8" t="s">
        <v>0</v>
      </c>
      <c r="AH65" s="8" t="s">
        <v>0</v>
      </c>
      <c r="AI65" s="8" t="s">
        <v>0</v>
      </c>
      <c r="AJ65" s="8" t="s">
        <v>0</v>
      </c>
      <c r="AK65" s="8" t="s">
        <v>0</v>
      </c>
      <c r="AL65" s="8" t="s">
        <v>0</v>
      </c>
      <c r="AM65" s="8" t="s">
        <v>0</v>
      </c>
      <c r="AN65" s="8" t="s">
        <v>0</v>
      </c>
    </row>
    <row r="66" spans="1:40" ht="22.5">
      <c r="A66" s="2" t="s">
        <v>26</v>
      </c>
      <c r="B66" s="2" t="s">
        <v>615</v>
      </c>
      <c r="C66" s="2" t="s">
        <v>566</v>
      </c>
      <c r="D66" s="2" t="s">
        <v>616</v>
      </c>
      <c r="E66" s="2" t="s">
        <v>444</v>
      </c>
      <c r="F66" s="2" t="s">
        <v>445</v>
      </c>
      <c r="G66" s="2" t="s">
        <v>924</v>
      </c>
      <c r="H66" s="2" t="s">
        <v>533</v>
      </c>
      <c r="I66" s="2" t="s">
        <v>0</v>
      </c>
      <c r="J66" s="2" t="s">
        <v>0</v>
      </c>
      <c r="K66" s="2" t="s">
        <v>0</v>
      </c>
      <c r="L66" s="2" t="s">
        <v>617</v>
      </c>
      <c r="M66" s="2" t="s">
        <v>27</v>
      </c>
      <c r="N66" s="2" t="s">
        <v>30</v>
      </c>
      <c r="O66" s="2" t="s">
        <v>28</v>
      </c>
      <c r="P66" s="2" t="s">
        <v>29</v>
      </c>
      <c r="Q66" s="2">
        <v>34</v>
      </c>
      <c r="R66" s="2">
        <v>12</v>
      </c>
      <c r="S66" s="2">
        <v>0</v>
      </c>
      <c r="T66" s="2">
        <v>0</v>
      </c>
      <c r="U66" s="2">
        <v>0</v>
      </c>
      <c r="V66" s="2">
        <v>10</v>
      </c>
      <c r="W66" s="2">
        <v>28</v>
      </c>
      <c r="X66" s="2">
        <v>1</v>
      </c>
      <c r="Y66" s="2">
        <v>18</v>
      </c>
      <c r="Z66" s="8" t="s">
        <v>0</v>
      </c>
      <c r="AA66" s="8" t="s">
        <v>0</v>
      </c>
      <c r="AB66" s="8" t="s">
        <v>0</v>
      </c>
      <c r="AC66" s="8" t="s">
        <v>0</v>
      </c>
      <c r="AD66" s="8" t="s">
        <v>0</v>
      </c>
      <c r="AE66" s="8" t="s">
        <v>0</v>
      </c>
      <c r="AF66" s="8" t="s">
        <v>0</v>
      </c>
      <c r="AG66" s="8" t="s">
        <v>0</v>
      </c>
      <c r="AH66" s="8" t="s">
        <v>0</v>
      </c>
      <c r="AI66" s="8" t="s">
        <v>0</v>
      </c>
      <c r="AJ66" s="8" t="s">
        <v>0</v>
      </c>
      <c r="AK66" s="8" t="s">
        <v>0</v>
      </c>
      <c r="AL66" s="8" t="s">
        <v>0</v>
      </c>
      <c r="AM66" s="8" t="s">
        <v>0</v>
      </c>
      <c r="AN66" s="8" t="s">
        <v>0</v>
      </c>
    </row>
    <row r="67" spans="1:40" ht="22.5">
      <c r="A67" s="2" t="s">
        <v>26</v>
      </c>
      <c r="B67" s="2" t="s">
        <v>618</v>
      </c>
      <c r="C67" s="2" t="s">
        <v>495</v>
      </c>
      <c r="D67" s="2" t="s">
        <v>616</v>
      </c>
      <c r="E67" s="2" t="s">
        <v>444</v>
      </c>
      <c r="F67" s="2" t="s">
        <v>445</v>
      </c>
      <c r="G67" s="2" t="s">
        <v>924</v>
      </c>
      <c r="H67" s="2" t="s">
        <v>533</v>
      </c>
      <c r="I67" s="2" t="s">
        <v>0</v>
      </c>
      <c r="J67" s="2" t="s">
        <v>0</v>
      </c>
      <c r="K67" s="2" t="s">
        <v>0</v>
      </c>
      <c r="L67" s="2" t="s">
        <v>619</v>
      </c>
      <c r="M67" s="2" t="s">
        <v>27</v>
      </c>
      <c r="N67" s="2" t="s">
        <v>30</v>
      </c>
      <c r="O67" s="2" t="s">
        <v>28</v>
      </c>
      <c r="P67" s="2" t="s">
        <v>29</v>
      </c>
      <c r="Q67" s="2">
        <v>34</v>
      </c>
      <c r="R67" s="2">
        <v>12</v>
      </c>
      <c r="S67" s="2">
        <v>0</v>
      </c>
      <c r="T67" s="2">
        <v>0</v>
      </c>
      <c r="U67" s="2">
        <v>0</v>
      </c>
      <c r="V67" s="2">
        <v>10</v>
      </c>
      <c r="W67" s="2">
        <v>28</v>
      </c>
      <c r="X67" s="2">
        <v>1</v>
      </c>
      <c r="Y67" s="2">
        <v>18</v>
      </c>
      <c r="Z67" s="8" t="s">
        <v>0</v>
      </c>
      <c r="AA67" s="8" t="s">
        <v>0</v>
      </c>
      <c r="AB67" s="8" t="s">
        <v>0</v>
      </c>
      <c r="AC67" s="8" t="s">
        <v>0</v>
      </c>
      <c r="AD67" s="8" t="s">
        <v>0</v>
      </c>
      <c r="AE67" s="8" t="s">
        <v>0</v>
      </c>
      <c r="AF67" s="8" t="s">
        <v>0</v>
      </c>
      <c r="AG67" s="8" t="s">
        <v>0</v>
      </c>
      <c r="AH67" s="8" t="s">
        <v>0</v>
      </c>
      <c r="AI67" s="8" t="s">
        <v>0</v>
      </c>
      <c r="AJ67" s="8" t="s">
        <v>0</v>
      </c>
      <c r="AK67" s="8" t="s">
        <v>0</v>
      </c>
      <c r="AL67" s="8" t="s">
        <v>0</v>
      </c>
      <c r="AM67" s="8" t="s">
        <v>0</v>
      </c>
      <c r="AN67" s="8" t="s">
        <v>0</v>
      </c>
    </row>
    <row r="68" spans="1:40" ht="22.5">
      <c r="A68" s="2" t="s">
        <v>26</v>
      </c>
      <c r="B68" s="2" t="s">
        <v>620</v>
      </c>
      <c r="C68" s="2" t="s">
        <v>462</v>
      </c>
      <c r="D68" s="2" t="s">
        <v>616</v>
      </c>
      <c r="E68" s="2" t="s">
        <v>444</v>
      </c>
      <c r="F68" s="2" t="s">
        <v>445</v>
      </c>
      <c r="G68" s="2" t="s">
        <v>924</v>
      </c>
      <c r="H68" s="2" t="s">
        <v>533</v>
      </c>
      <c r="I68" s="2" t="s">
        <v>0</v>
      </c>
      <c r="J68" s="2" t="s">
        <v>0</v>
      </c>
      <c r="K68" s="2" t="s">
        <v>0</v>
      </c>
      <c r="L68" s="2" t="s">
        <v>621</v>
      </c>
      <c r="M68" s="2" t="s">
        <v>27</v>
      </c>
      <c r="N68" s="2" t="s">
        <v>30</v>
      </c>
      <c r="O68" s="2" t="s">
        <v>28</v>
      </c>
      <c r="P68" s="2" t="s">
        <v>29</v>
      </c>
      <c r="Q68" s="2">
        <v>34</v>
      </c>
      <c r="R68" s="2">
        <v>12</v>
      </c>
      <c r="S68" s="2">
        <v>0</v>
      </c>
      <c r="T68" s="2">
        <v>0</v>
      </c>
      <c r="U68" s="2">
        <v>0</v>
      </c>
      <c r="V68" s="2">
        <v>10</v>
      </c>
      <c r="W68" s="2">
        <v>28</v>
      </c>
      <c r="X68" s="2">
        <v>1</v>
      </c>
      <c r="Y68" s="2">
        <v>18</v>
      </c>
      <c r="Z68" s="8" t="s">
        <v>0</v>
      </c>
      <c r="AA68" s="8" t="s">
        <v>0</v>
      </c>
      <c r="AB68" s="8" t="s">
        <v>0</v>
      </c>
      <c r="AC68" s="8" t="s">
        <v>0</v>
      </c>
      <c r="AD68" s="8" t="s">
        <v>0</v>
      </c>
      <c r="AE68" s="8" t="s">
        <v>0</v>
      </c>
      <c r="AF68" s="8" t="s">
        <v>0</v>
      </c>
      <c r="AG68" s="8" t="s">
        <v>0</v>
      </c>
      <c r="AH68" s="8" t="s">
        <v>0</v>
      </c>
      <c r="AI68" s="8" t="s">
        <v>0</v>
      </c>
      <c r="AJ68" s="8" t="s">
        <v>0</v>
      </c>
      <c r="AK68" s="8" t="s">
        <v>0</v>
      </c>
      <c r="AL68" s="8" t="s">
        <v>0</v>
      </c>
      <c r="AM68" s="8" t="s">
        <v>0</v>
      </c>
      <c r="AN68" s="8" t="s">
        <v>0</v>
      </c>
    </row>
    <row r="69" spans="1:40" ht="22.5">
      <c r="A69" s="2" t="s">
        <v>26</v>
      </c>
      <c r="B69" s="2" t="s">
        <v>622</v>
      </c>
      <c r="C69" s="2" t="s">
        <v>442</v>
      </c>
      <c r="D69" s="2" t="s">
        <v>616</v>
      </c>
      <c r="E69" s="2" t="s">
        <v>444</v>
      </c>
      <c r="F69" s="2" t="s">
        <v>445</v>
      </c>
      <c r="G69" s="2" t="s">
        <v>924</v>
      </c>
      <c r="H69" s="2" t="s">
        <v>533</v>
      </c>
      <c r="I69" s="2" t="s">
        <v>0</v>
      </c>
      <c r="J69" s="2" t="s">
        <v>0</v>
      </c>
      <c r="K69" s="2" t="s">
        <v>0</v>
      </c>
      <c r="L69" s="2" t="s">
        <v>623</v>
      </c>
      <c r="M69" s="2" t="s">
        <v>27</v>
      </c>
      <c r="N69" s="2" t="s">
        <v>30</v>
      </c>
      <c r="O69" s="2" t="s">
        <v>28</v>
      </c>
      <c r="P69" s="2" t="s">
        <v>29</v>
      </c>
      <c r="Q69" s="2">
        <v>34</v>
      </c>
      <c r="R69" s="2">
        <v>12</v>
      </c>
      <c r="S69" s="2">
        <v>0</v>
      </c>
      <c r="T69" s="2">
        <v>0</v>
      </c>
      <c r="U69" s="2">
        <v>0</v>
      </c>
      <c r="V69" s="2">
        <v>10</v>
      </c>
      <c r="W69" s="2">
        <v>28</v>
      </c>
      <c r="X69" s="2">
        <v>1</v>
      </c>
      <c r="Y69" s="2">
        <v>18</v>
      </c>
      <c r="Z69" s="8" t="s">
        <v>0</v>
      </c>
      <c r="AA69" s="8" t="s">
        <v>0</v>
      </c>
      <c r="AB69" s="8" t="s">
        <v>0</v>
      </c>
      <c r="AC69" s="8" t="s">
        <v>0</v>
      </c>
      <c r="AD69" s="8" t="s">
        <v>0</v>
      </c>
      <c r="AE69" s="8" t="s">
        <v>0</v>
      </c>
      <c r="AF69" s="8" t="s">
        <v>0</v>
      </c>
      <c r="AG69" s="8" t="s">
        <v>0</v>
      </c>
      <c r="AH69" s="8" t="s">
        <v>0</v>
      </c>
      <c r="AI69" s="8" t="s">
        <v>0</v>
      </c>
      <c r="AJ69" s="8" t="s">
        <v>0</v>
      </c>
      <c r="AK69" s="8" t="s">
        <v>0</v>
      </c>
      <c r="AL69" s="8" t="s">
        <v>0</v>
      </c>
      <c r="AM69" s="8" t="s">
        <v>0</v>
      </c>
      <c r="AN69" s="8" t="s">
        <v>0</v>
      </c>
    </row>
    <row r="70" spans="1:40" ht="22.5">
      <c r="A70" s="2" t="s">
        <v>26</v>
      </c>
      <c r="B70" s="2" t="s">
        <v>624</v>
      </c>
      <c r="C70" s="2" t="s">
        <v>545</v>
      </c>
      <c r="D70" s="2" t="s">
        <v>616</v>
      </c>
      <c r="E70" s="2" t="s">
        <v>444</v>
      </c>
      <c r="F70" s="2" t="s">
        <v>445</v>
      </c>
      <c r="G70" s="2" t="s">
        <v>924</v>
      </c>
      <c r="H70" s="2" t="s">
        <v>533</v>
      </c>
      <c r="I70" s="2" t="s">
        <v>0</v>
      </c>
      <c r="J70" s="2" t="s">
        <v>0</v>
      </c>
      <c r="K70" s="2" t="s">
        <v>0</v>
      </c>
      <c r="L70" s="2" t="s">
        <v>625</v>
      </c>
      <c r="M70" s="2" t="s">
        <v>27</v>
      </c>
      <c r="N70" s="2" t="s">
        <v>30</v>
      </c>
      <c r="O70" s="2" t="s">
        <v>28</v>
      </c>
      <c r="P70" s="2" t="s">
        <v>29</v>
      </c>
      <c r="Q70" s="2">
        <v>34</v>
      </c>
      <c r="R70" s="2">
        <v>12</v>
      </c>
      <c r="S70" s="2">
        <v>0</v>
      </c>
      <c r="T70" s="2">
        <v>0</v>
      </c>
      <c r="U70" s="2">
        <v>0</v>
      </c>
      <c r="V70" s="2">
        <v>10</v>
      </c>
      <c r="W70" s="2">
        <v>28</v>
      </c>
      <c r="X70" s="2">
        <v>1</v>
      </c>
      <c r="Y70" s="2">
        <v>18</v>
      </c>
      <c r="Z70" s="8" t="s">
        <v>0</v>
      </c>
      <c r="AA70" s="8" t="s">
        <v>0</v>
      </c>
      <c r="AB70" s="8" t="s">
        <v>0</v>
      </c>
      <c r="AC70" s="8" t="s">
        <v>0</v>
      </c>
      <c r="AD70" s="8" t="s">
        <v>0</v>
      </c>
      <c r="AE70" s="8" t="s">
        <v>0</v>
      </c>
      <c r="AF70" s="8" t="s">
        <v>0</v>
      </c>
      <c r="AG70" s="8" t="s">
        <v>0</v>
      </c>
      <c r="AH70" s="8" t="s">
        <v>0</v>
      </c>
      <c r="AI70" s="8" t="s">
        <v>0</v>
      </c>
      <c r="AJ70" s="8" t="s">
        <v>0</v>
      </c>
      <c r="AK70" s="8" t="s">
        <v>0</v>
      </c>
      <c r="AL70" s="8" t="s">
        <v>0</v>
      </c>
      <c r="AM70" s="8" t="s">
        <v>0</v>
      </c>
      <c r="AN70" s="8" t="s">
        <v>0</v>
      </c>
    </row>
    <row r="71" spans="1:40" ht="22.5">
      <c r="A71" s="2" t="s">
        <v>26</v>
      </c>
      <c r="B71" s="2" t="s">
        <v>626</v>
      </c>
      <c r="C71" s="2" t="s">
        <v>484</v>
      </c>
      <c r="D71" s="2" t="s">
        <v>496</v>
      </c>
      <c r="E71" s="2" t="s">
        <v>444</v>
      </c>
      <c r="F71" s="2" t="s">
        <v>445</v>
      </c>
      <c r="G71" s="2" t="s">
        <v>924</v>
      </c>
      <c r="H71" s="2" t="s">
        <v>533</v>
      </c>
      <c r="I71" s="2" t="s">
        <v>0</v>
      </c>
      <c r="J71" s="2" t="s">
        <v>0</v>
      </c>
      <c r="K71" s="2" t="s">
        <v>0</v>
      </c>
      <c r="L71" s="2" t="s">
        <v>627</v>
      </c>
      <c r="M71" s="2" t="s">
        <v>27</v>
      </c>
      <c r="N71" s="2" t="s">
        <v>30</v>
      </c>
      <c r="O71" s="2" t="s">
        <v>28</v>
      </c>
      <c r="P71" s="2" t="s">
        <v>29</v>
      </c>
      <c r="Q71" s="2">
        <v>34</v>
      </c>
      <c r="R71" s="2">
        <v>12</v>
      </c>
      <c r="S71" s="2">
        <v>0</v>
      </c>
      <c r="T71" s="2">
        <v>0</v>
      </c>
      <c r="U71" s="2">
        <v>0</v>
      </c>
      <c r="V71" s="2">
        <v>10</v>
      </c>
      <c r="W71" s="2">
        <v>28</v>
      </c>
      <c r="X71" s="2">
        <v>1</v>
      </c>
      <c r="Y71" s="2">
        <v>18</v>
      </c>
      <c r="Z71" s="8" t="s">
        <v>0</v>
      </c>
      <c r="AA71" s="8" t="s">
        <v>0</v>
      </c>
      <c r="AB71" s="8" t="s">
        <v>0</v>
      </c>
      <c r="AC71" s="8" t="s">
        <v>0</v>
      </c>
      <c r="AD71" s="8" t="s">
        <v>0</v>
      </c>
      <c r="AE71" s="8" t="s">
        <v>0</v>
      </c>
      <c r="AF71" s="8" t="s">
        <v>0</v>
      </c>
      <c r="AG71" s="8" t="s">
        <v>0</v>
      </c>
      <c r="AH71" s="8" t="s">
        <v>0</v>
      </c>
      <c r="AI71" s="8" t="s">
        <v>0</v>
      </c>
      <c r="AJ71" s="8" t="s">
        <v>0</v>
      </c>
      <c r="AK71" s="8" t="s">
        <v>0</v>
      </c>
      <c r="AL71" s="8" t="s">
        <v>0</v>
      </c>
      <c r="AM71" s="8" t="s">
        <v>0</v>
      </c>
      <c r="AN71" s="8" t="s">
        <v>0</v>
      </c>
    </row>
    <row r="72" spans="1:40" ht="22.5">
      <c r="A72" s="2" t="s">
        <v>26</v>
      </c>
      <c r="B72" s="2" t="s">
        <v>628</v>
      </c>
      <c r="C72" s="2" t="s">
        <v>510</v>
      </c>
      <c r="D72" s="2" t="s">
        <v>629</v>
      </c>
      <c r="E72" s="2" t="s">
        <v>444</v>
      </c>
      <c r="F72" s="2" t="s">
        <v>445</v>
      </c>
      <c r="G72" s="2" t="s">
        <v>924</v>
      </c>
      <c r="H72" s="2" t="s">
        <v>533</v>
      </c>
      <c r="I72" s="2" t="s">
        <v>0</v>
      </c>
      <c r="J72" s="2" t="s">
        <v>0</v>
      </c>
      <c r="K72" s="2" t="s">
        <v>0</v>
      </c>
      <c r="L72" s="2" t="s">
        <v>630</v>
      </c>
      <c r="M72" s="2" t="s">
        <v>27</v>
      </c>
      <c r="N72" s="2" t="s">
        <v>30</v>
      </c>
      <c r="O72" s="2" t="s">
        <v>28</v>
      </c>
      <c r="P72" s="2" t="s">
        <v>29</v>
      </c>
      <c r="Q72" s="2">
        <v>34</v>
      </c>
      <c r="R72" s="2">
        <v>12</v>
      </c>
      <c r="S72" s="2">
        <v>0</v>
      </c>
      <c r="T72" s="2">
        <v>0</v>
      </c>
      <c r="U72" s="2">
        <v>0</v>
      </c>
      <c r="V72" s="2">
        <v>10</v>
      </c>
      <c r="W72" s="2">
        <v>28</v>
      </c>
      <c r="X72" s="2">
        <v>1</v>
      </c>
      <c r="Y72" s="2">
        <v>18</v>
      </c>
      <c r="Z72" s="8" t="s">
        <v>0</v>
      </c>
      <c r="AA72" s="8" t="s">
        <v>0</v>
      </c>
      <c r="AB72" s="8" t="s">
        <v>0</v>
      </c>
      <c r="AC72" s="8" t="s">
        <v>0</v>
      </c>
      <c r="AD72" s="8" t="s">
        <v>0</v>
      </c>
      <c r="AE72" s="8" t="s">
        <v>0</v>
      </c>
      <c r="AF72" s="8" t="s">
        <v>0</v>
      </c>
      <c r="AG72" s="8" t="s">
        <v>0</v>
      </c>
      <c r="AH72" s="8" t="s">
        <v>0</v>
      </c>
      <c r="AI72" s="8" t="s">
        <v>0</v>
      </c>
      <c r="AJ72" s="8" t="s">
        <v>0</v>
      </c>
      <c r="AK72" s="8" t="s">
        <v>0</v>
      </c>
      <c r="AL72" s="8" t="s">
        <v>0</v>
      </c>
      <c r="AM72" s="8" t="s">
        <v>0</v>
      </c>
      <c r="AN72" s="8" t="s">
        <v>0</v>
      </c>
    </row>
    <row r="73" spans="1:40" ht="22.5">
      <c r="A73" s="2" t="s">
        <v>26</v>
      </c>
      <c r="B73" s="2" t="s">
        <v>631</v>
      </c>
      <c r="C73" s="2" t="s">
        <v>473</v>
      </c>
      <c r="D73" s="2" t="s">
        <v>522</v>
      </c>
      <c r="E73" s="2" t="s">
        <v>444</v>
      </c>
      <c r="F73" s="2" t="s">
        <v>445</v>
      </c>
      <c r="G73" s="2" t="s">
        <v>924</v>
      </c>
      <c r="H73" s="2" t="s">
        <v>533</v>
      </c>
      <c r="I73" s="2" t="s">
        <v>0</v>
      </c>
      <c r="J73" s="2" t="s">
        <v>0</v>
      </c>
      <c r="K73" s="2" t="s">
        <v>0</v>
      </c>
      <c r="L73" s="2" t="s">
        <v>632</v>
      </c>
      <c r="M73" s="2" t="s">
        <v>27</v>
      </c>
      <c r="N73" s="2" t="s">
        <v>30</v>
      </c>
      <c r="O73" s="2" t="s">
        <v>28</v>
      </c>
      <c r="P73" s="2" t="s">
        <v>29</v>
      </c>
      <c r="Q73" s="2">
        <v>34</v>
      </c>
      <c r="R73" s="2">
        <v>12</v>
      </c>
      <c r="S73" s="2">
        <v>0</v>
      </c>
      <c r="T73" s="2">
        <v>0</v>
      </c>
      <c r="U73" s="2">
        <v>0</v>
      </c>
      <c r="V73" s="2">
        <v>10</v>
      </c>
      <c r="W73" s="2">
        <v>28</v>
      </c>
      <c r="X73" s="2">
        <v>1</v>
      </c>
      <c r="Y73" s="2">
        <v>18</v>
      </c>
      <c r="Z73" s="8" t="s">
        <v>0</v>
      </c>
      <c r="AA73" s="8" t="s">
        <v>0</v>
      </c>
      <c r="AB73" s="8" t="s">
        <v>0</v>
      </c>
      <c r="AC73" s="8" t="s">
        <v>0</v>
      </c>
      <c r="AD73" s="8" t="s">
        <v>0</v>
      </c>
      <c r="AE73" s="8" t="s">
        <v>0</v>
      </c>
      <c r="AF73" s="8" t="s">
        <v>0</v>
      </c>
      <c r="AG73" s="8" t="s">
        <v>0</v>
      </c>
      <c r="AH73" s="8" t="s">
        <v>0</v>
      </c>
      <c r="AI73" s="8" t="s">
        <v>0</v>
      </c>
      <c r="AJ73" s="8" t="s">
        <v>0</v>
      </c>
      <c r="AK73" s="8" t="s">
        <v>0</v>
      </c>
      <c r="AL73" s="8" t="s">
        <v>0</v>
      </c>
      <c r="AM73" s="8" t="s">
        <v>0</v>
      </c>
      <c r="AN73" s="8" t="s">
        <v>0</v>
      </c>
    </row>
    <row r="74" spans="1:40" ht="22.5">
      <c r="A74" s="2" t="s">
        <v>26</v>
      </c>
      <c r="B74" s="2" t="s">
        <v>633</v>
      </c>
      <c r="C74" s="2" t="s">
        <v>495</v>
      </c>
      <c r="D74" s="2" t="s">
        <v>522</v>
      </c>
      <c r="E74" s="2" t="s">
        <v>444</v>
      </c>
      <c r="F74" s="2" t="s">
        <v>445</v>
      </c>
      <c r="G74" s="2" t="s">
        <v>924</v>
      </c>
      <c r="H74" s="2" t="s">
        <v>533</v>
      </c>
      <c r="I74" s="2" t="s">
        <v>0</v>
      </c>
      <c r="J74" s="2" t="s">
        <v>0</v>
      </c>
      <c r="K74" s="2" t="s">
        <v>0</v>
      </c>
      <c r="L74" s="2" t="s">
        <v>634</v>
      </c>
      <c r="M74" s="2" t="s">
        <v>27</v>
      </c>
      <c r="N74" s="2" t="s">
        <v>30</v>
      </c>
      <c r="O74" s="2" t="s">
        <v>28</v>
      </c>
      <c r="P74" s="2" t="s">
        <v>29</v>
      </c>
      <c r="Q74" s="2">
        <v>34</v>
      </c>
      <c r="R74" s="2">
        <v>12</v>
      </c>
      <c r="S74" s="2">
        <v>0</v>
      </c>
      <c r="T74" s="2">
        <v>0</v>
      </c>
      <c r="U74" s="2">
        <v>0</v>
      </c>
      <c r="V74" s="2">
        <v>10</v>
      </c>
      <c r="W74" s="2">
        <v>28</v>
      </c>
      <c r="X74" s="2">
        <v>1</v>
      </c>
      <c r="Y74" s="2">
        <v>18</v>
      </c>
      <c r="Z74" s="8" t="s">
        <v>0</v>
      </c>
      <c r="AA74" s="8" t="s">
        <v>0</v>
      </c>
      <c r="AB74" s="8" t="s">
        <v>0</v>
      </c>
      <c r="AC74" s="8" t="s">
        <v>0</v>
      </c>
      <c r="AD74" s="8" t="s">
        <v>0</v>
      </c>
      <c r="AE74" s="8" t="s">
        <v>0</v>
      </c>
      <c r="AF74" s="8" t="s">
        <v>0</v>
      </c>
      <c r="AG74" s="8" t="s">
        <v>0</v>
      </c>
      <c r="AH74" s="8" t="s">
        <v>0</v>
      </c>
      <c r="AI74" s="8" t="s">
        <v>0</v>
      </c>
      <c r="AJ74" s="8" t="s">
        <v>0</v>
      </c>
      <c r="AK74" s="8" t="s">
        <v>0</v>
      </c>
      <c r="AL74" s="8" t="s">
        <v>0</v>
      </c>
      <c r="AM74" s="8" t="s">
        <v>0</v>
      </c>
      <c r="AN74" s="8" t="s">
        <v>0</v>
      </c>
    </row>
    <row r="75" spans="1:40" ht="22.5">
      <c r="A75" s="2" t="s">
        <v>26</v>
      </c>
      <c r="B75" s="2" t="s">
        <v>635</v>
      </c>
      <c r="C75" s="2" t="s">
        <v>462</v>
      </c>
      <c r="D75" s="2" t="s">
        <v>522</v>
      </c>
      <c r="E75" s="2" t="s">
        <v>444</v>
      </c>
      <c r="F75" s="2" t="s">
        <v>445</v>
      </c>
      <c r="G75" s="2" t="s">
        <v>924</v>
      </c>
      <c r="H75" s="2" t="s">
        <v>533</v>
      </c>
      <c r="I75" s="2" t="s">
        <v>0</v>
      </c>
      <c r="J75" s="2" t="s">
        <v>0</v>
      </c>
      <c r="K75" s="2" t="s">
        <v>0</v>
      </c>
      <c r="L75" s="2" t="s">
        <v>636</v>
      </c>
      <c r="M75" s="2" t="s">
        <v>27</v>
      </c>
      <c r="N75" s="2" t="s">
        <v>30</v>
      </c>
      <c r="O75" s="2" t="s">
        <v>28</v>
      </c>
      <c r="P75" s="2" t="s">
        <v>29</v>
      </c>
      <c r="Q75" s="2">
        <v>34</v>
      </c>
      <c r="R75" s="2">
        <v>12</v>
      </c>
      <c r="S75" s="2">
        <v>0</v>
      </c>
      <c r="T75" s="2">
        <v>0</v>
      </c>
      <c r="U75" s="2">
        <v>0</v>
      </c>
      <c r="V75" s="2">
        <v>10</v>
      </c>
      <c r="W75" s="2">
        <v>28</v>
      </c>
      <c r="X75" s="2">
        <v>1</v>
      </c>
      <c r="Y75" s="2">
        <v>18</v>
      </c>
      <c r="Z75" s="8" t="s">
        <v>0</v>
      </c>
      <c r="AA75" s="8" t="s">
        <v>0</v>
      </c>
      <c r="AB75" s="8" t="s">
        <v>0</v>
      </c>
      <c r="AC75" s="8" t="s">
        <v>0</v>
      </c>
      <c r="AD75" s="8" t="s">
        <v>0</v>
      </c>
      <c r="AE75" s="8" t="s">
        <v>0</v>
      </c>
      <c r="AF75" s="8" t="s">
        <v>0</v>
      </c>
      <c r="AG75" s="8" t="s">
        <v>0</v>
      </c>
      <c r="AH75" s="8" t="s">
        <v>0</v>
      </c>
      <c r="AI75" s="8" t="s">
        <v>0</v>
      </c>
      <c r="AJ75" s="8" t="s">
        <v>0</v>
      </c>
      <c r="AK75" s="8" t="s">
        <v>0</v>
      </c>
      <c r="AL75" s="8" t="s">
        <v>0</v>
      </c>
      <c r="AM75" s="8" t="s">
        <v>0</v>
      </c>
      <c r="AN75" s="8" t="s">
        <v>0</v>
      </c>
    </row>
    <row r="76" spans="1:40" ht="22.5">
      <c r="A76" s="2" t="s">
        <v>26</v>
      </c>
      <c r="B76" s="2" t="s">
        <v>637</v>
      </c>
      <c r="C76" s="2" t="s">
        <v>550</v>
      </c>
      <c r="D76" s="2" t="s">
        <v>522</v>
      </c>
      <c r="E76" s="2" t="s">
        <v>444</v>
      </c>
      <c r="F76" s="2" t="s">
        <v>445</v>
      </c>
      <c r="G76" s="2" t="s">
        <v>924</v>
      </c>
      <c r="H76" s="2" t="s">
        <v>533</v>
      </c>
      <c r="I76" s="2" t="s">
        <v>0</v>
      </c>
      <c r="J76" s="2" t="s">
        <v>0</v>
      </c>
      <c r="K76" s="2" t="s">
        <v>0</v>
      </c>
      <c r="L76" s="2" t="s">
        <v>638</v>
      </c>
      <c r="M76" s="2" t="s">
        <v>27</v>
      </c>
      <c r="N76" s="2" t="s">
        <v>30</v>
      </c>
      <c r="O76" s="2" t="s">
        <v>28</v>
      </c>
      <c r="P76" s="2" t="s">
        <v>29</v>
      </c>
      <c r="Q76" s="2">
        <v>34</v>
      </c>
      <c r="R76" s="2">
        <v>12</v>
      </c>
      <c r="S76" s="2">
        <v>0</v>
      </c>
      <c r="T76" s="2">
        <v>0</v>
      </c>
      <c r="U76" s="2">
        <v>0</v>
      </c>
      <c r="V76" s="2">
        <v>10</v>
      </c>
      <c r="W76" s="2">
        <v>28</v>
      </c>
      <c r="X76" s="2">
        <v>1</v>
      </c>
      <c r="Y76" s="2">
        <v>18</v>
      </c>
      <c r="Z76" s="8" t="s">
        <v>0</v>
      </c>
      <c r="AA76" s="8" t="s">
        <v>0</v>
      </c>
      <c r="AB76" s="8" t="s">
        <v>0</v>
      </c>
      <c r="AC76" s="8" t="s">
        <v>0</v>
      </c>
      <c r="AD76" s="8" t="s">
        <v>0</v>
      </c>
      <c r="AE76" s="8" t="s">
        <v>0</v>
      </c>
      <c r="AF76" s="8" t="s">
        <v>0</v>
      </c>
      <c r="AG76" s="8" t="s">
        <v>0</v>
      </c>
      <c r="AH76" s="8" t="s">
        <v>0</v>
      </c>
      <c r="AI76" s="8" t="s">
        <v>0</v>
      </c>
      <c r="AJ76" s="8" t="s">
        <v>0</v>
      </c>
      <c r="AK76" s="8" t="s">
        <v>0</v>
      </c>
      <c r="AL76" s="8" t="s">
        <v>0</v>
      </c>
      <c r="AM76" s="8" t="s">
        <v>0</v>
      </c>
      <c r="AN76" s="8" t="s">
        <v>0</v>
      </c>
    </row>
    <row r="77" spans="1:40" ht="33.75">
      <c r="A77" s="2" t="s">
        <v>26</v>
      </c>
      <c r="B77" s="2" t="s">
        <v>639</v>
      </c>
      <c r="C77" s="2" t="s">
        <v>452</v>
      </c>
      <c r="D77" s="2" t="s">
        <v>522</v>
      </c>
      <c r="E77" s="2" t="s">
        <v>444</v>
      </c>
      <c r="F77" s="2" t="s">
        <v>445</v>
      </c>
      <c r="G77" s="2" t="s">
        <v>924</v>
      </c>
      <c r="H77" s="2" t="s">
        <v>533</v>
      </c>
      <c r="I77" s="2" t="s">
        <v>0</v>
      </c>
      <c r="J77" s="2" t="s">
        <v>0</v>
      </c>
      <c r="K77" s="2" t="s">
        <v>0</v>
      </c>
      <c r="L77" s="2" t="s">
        <v>640</v>
      </c>
      <c r="M77" s="2" t="s">
        <v>27</v>
      </c>
      <c r="N77" s="2" t="s">
        <v>30</v>
      </c>
      <c r="O77" s="2" t="s">
        <v>28</v>
      </c>
      <c r="P77" s="2" t="s">
        <v>29</v>
      </c>
      <c r="Q77" s="2">
        <v>34</v>
      </c>
      <c r="R77" s="2">
        <v>12</v>
      </c>
      <c r="S77" s="2">
        <v>0</v>
      </c>
      <c r="T77" s="2">
        <v>0</v>
      </c>
      <c r="U77" s="2">
        <v>0</v>
      </c>
      <c r="V77" s="2">
        <v>10</v>
      </c>
      <c r="W77" s="2">
        <v>28</v>
      </c>
      <c r="X77" s="2">
        <v>1</v>
      </c>
      <c r="Y77" s="2">
        <v>18</v>
      </c>
      <c r="Z77" s="8" t="s">
        <v>0</v>
      </c>
      <c r="AA77" s="8" t="s">
        <v>0</v>
      </c>
      <c r="AB77" s="8" t="s">
        <v>0</v>
      </c>
      <c r="AC77" s="8" t="s">
        <v>0</v>
      </c>
      <c r="AD77" s="8" t="s">
        <v>0</v>
      </c>
      <c r="AE77" s="8" t="s">
        <v>0</v>
      </c>
      <c r="AF77" s="8" t="s">
        <v>0</v>
      </c>
      <c r="AG77" s="8" t="s">
        <v>0</v>
      </c>
      <c r="AH77" s="8" t="s">
        <v>0</v>
      </c>
      <c r="AI77" s="8" t="s">
        <v>0</v>
      </c>
      <c r="AJ77" s="8" t="s">
        <v>0</v>
      </c>
      <c r="AK77" s="8" t="s">
        <v>0</v>
      </c>
      <c r="AL77" s="8" t="s">
        <v>0</v>
      </c>
      <c r="AM77" s="8" t="s">
        <v>0</v>
      </c>
      <c r="AN77" s="8" t="s">
        <v>0</v>
      </c>
    </row>
    <row r="78" spans="1:40" ht="22.5">
      <c r="A78" s="2" t="s">
        <v>26</v>
      </c>
      <c r="B78" s="2" t="s">
        <v>641</v>
      </c>
      <c r="C78" s="2" t="s">
        <v>563</v>
      </c>
      <c r="D78" s="2" t="s">
        <v>522</v>
      </c>
      <c r="E78" s="2" t="s">
        <v>444</v>
      </c>
      <c r="F78" s="2" t="s">
        <v>445</v>
      </c>
      <c r="G78" s="2" t="s">
        <v>924</v>
      </c>
      <c r="H78" s="2" t="s">
        <v>533</v>
      </c>
      <c r="I78" s="2" t="s">
        <v>0</v>
      </c>
      <c r="J78" s="2" t="s">
        <v>0</v>
      </c>
      <c r="K78" s="2" t="s">
        <v>0</v>
      </c>
      <c r="L78" s="2" t="s">
        <v>642</v>
      </c>
      <c r="M78" s="2" t="s">
        <v>27</v>
      </c>
      <c r="N78" s="2" t="s">
        <v>30</v>
      </c>
      <c r="O78" s="2" t="s">
        <v>28</v>
      </c>
      <c r="P78" s="2" t="s">
        <v>29</v>
      </c>
      <c r="Q78" s="2">
        <v>34</v>
      </c>
      <c r="R78" s="2">
        <v>12</v>
      </c>
      <c r="S78" s="2">
        <v>0</v>
      </c>
      <c r="T78" s="2">
        <v>0</v>
      </c>
      <c r="U78" s="2">
        <v>0</v>
      </c>
      <c r="V78" s="2">
        <v>10</v>
      </c>
      <c r="W78" s="2">
        <v>28</v>
      </c>
      <c r="X78" s="2">
        <v>1</v>
      </c>
      <c r="Y78" s="2">
        <v>18</v>
      </c>
      <c r="Z78" s="8" t="s">
        <v>0</v>
      </c>
      <c r="AA78" s="8" t="s">
        <v>0</v>
      </c>
      <c r="AB78" s="8" t="s">
        <v>0</v>
      </c>
      <c r="AC78" s="8" t="s">
        <v>0</v>
      </c>
      <c r="AD78" s="8" t="s">
        <v>0</v>
      </c>
      <c r="AE78" s="8" t="s">
        <v>0</v>
      </c>
      <c r="AF78" s="8" t="s">
        <v>0</v>
      </c>
      <c r="AG78" s="8" t="s">
        <v>0</v>
      </c>
      <c r="AH78" s="8" t="s">
        <v>0</v>
      </c>
      <c r="AI78" s="8" t="s">
        <v>0</v>
      </c>
      <c r="AJ78" s="8" t="s">
        <v>0</v>
      </c>
      <c r="AK78" s="8" t="s">
        <v>0</v>
      </c>
      <c r="AL78" s="8" t="s">
        <v>0</v>
      </c>
      <c r="AM78" s="8" t="s">
        <v>0</v>
      </c>
      <c r="AN78" s="8" t="s">
        <v>0</v>
      </c>
    </row>
    <row r="79" spans="1:40" ht="22.5">
      <c r="A79" s="2" t="s">
        <v>26</v>
      </c>
      <c r="B79" s="2" t="s">
        <v>643</v>
      </c>
      <c r="C79" s="2" t="s">
        <v>571</v>
      </c>
      <c r="D79" s="2" t="s">
        <v>522</v>
      </c>
      <c r="E79" s="2" t="s">
        <v>444</v>
      </c>
      <c r="F79" s="2" t="s">
        <v>445</v>
      </c>
      <c r="G79" s="2" t="s">
        <v>924</v>
      </c>
      <c r="H79" s="2" t="s">
        <v>533</v>
      </c>
      <c r="I79" s="2" t="s">
        <v>0</v>
      </c>
      <c r="J79" s="2" t="s">
        <v>0</v>
      </c>
      <c r="K79" s="2" t="s">
        <v>0</v>
      </c>
      <c r="L79" s="2" t="s">
        <v>644</v>
      </c>
      <c r="M79" s="2" t="s">
        <v>27</v>
      </c>
      <c r="N79" s="2" t="s">
        <v>30</v>
      </c>
      <c r="O79" s="2" t="s">
        <v>28</v>
      </c>
      <c r="P79" s="2" t="s">
        <v>29</v>
      </c>
      <c r="Q79" s="2">
        <v>34</v>
      </c>
      <c r="R79" s="2">
        <v>12</v>
      </c>
      <c r="S79" s="2">
        <v>0</v>
      </c>
      <c r="T79" s="2">
        <v>0</v>
      </c>
      <c r="U79" s="2">
        <v>0</v>
      </c>
      <c r="V79" s="2">
        <v>10</v>
      </c>
      <c r="W79" s="2">
        <v>28</v>
      </c>
      <c r="X79" s="2">
        <v>1</v>
      </c>
      <c r="Y79" s="2">
        <v>18</v>
      </c>
      <c r="Z79" s="8" t="s">
        <v>0</v>
      </c>
      <c r="AA79" s="8" t="s">
        <v>0</v>
      </c>
      <c r="AB79" s="8" t="s">
        <v>0</v>
      </c>
      <c r="AC79" s="8" t="s">
        <v>0</v>
      </c>
      <c r="AD79" s="8" t="s">
        <v>0</v>
      </c>
      <c r="AE79" s="8" t="s">
        <v>0</v>
      </c>
      <c r="AF79" s="8" t="s">
        <v>0</v>
      </c>
      <c r="AG79" s="8" t="s">
        <v>0</v>
      </c>
      <c r="AH79" s="8" t="s">
        <v>0</v>
      </c>
      <c r="AI79" s="8" t="s">
        <v>0</v>
      </c>
      <c r="AJ79" s="8" t="s">
        <v>0</v>
      </c>
      <c r="AK79" s="8" t="s">
        <v>0</v>
      </c>
      <c r="AL79" s="8" t="s">
        <v>0</v>
      </c>
      <c r="AM79" s="8" t="s">
        <v>0</v>
      </c>
      <c r="AN79" s="8" t="s">
        <v>0</v>
      </c>
    </row>
    <row r="80" spans="1:40" ht="22.5">
      <c r="A80" s="2" t="s">
        <v>121</v>
      </c>
      <c r="B80" s="2" t="s">
        <v>645</v>
      </c>
      <c r="C80" s="2" t="s">
        <v>536</v>
      </c>
      <c r="D80" s="2" t="s">
        <v>646</v>
      </c>
      <c r="E80" s="2" t="s">
        <v>444</v>
      </c>
      <c r="F80" s="2" t="s">
        <v>445</v>
      </c>
      <c r="G80" s="2" t="s">
        <v>924</v>
      </c>
      <c r="H80" s="2" t="s">
        <v>533</v>
      </c>
      <c r="I80" s="2" t="s">
        <v>0</v>
      </c>
      <c r="J80" s="2" t="s">
        <v>0</v>
      </c>
      <c r="K80" s="2" t="s">
        <v>0</v>
      </c>
      <c r="L80" s="2" t="s">
        <v>647</v>
      </c>
      <c r="M80" s="2" t="s">
        <v>27</v>
      </c>
      <c r="N80" s="2" t="s">
        <v>30</v>
      </c>
      <c r="O80" s="2" t="s">
        <v>28</v>
      </c>
      <c r="P80" s="2" t="s">
        <v>29</v>
      </c>
      <c r="Q80" s="2">
        <v>34</v>
      </c>
      <c r="R80" s="2">
        <v>12</v>
      </c>
      <c r="S80" s="2">
        <v>0</v>
      </c>
      <c r="T80" s="2">
        <v>0</v>
      </c>
      <c r="U80" s="2">
        <v>0</v>
      </c>
      <c r="V80" s="2">
        <v>10</v>
      </c>
      <c r="W80" s="2">
        <v>28</v>
      </c>
      <c r="X80" s="2">
        <v>1</v>
      </c>
      <c r="Y80" s="2">
        <v>18</v>
      </c>
      <c r="Z80" s="8" t="s">
        <v>0</v>
      </c>
      <c r="AA80" s="8" t="s">
        <v>0</v>
      </c>
      <c r="AB80" s="8" t="s">
        <v>0</v>
      </c>
      <c r="AC80" s="8" t="s">
        <v>0</v>
      </c>
      <c r="AD80" s="8" t="s">
        <v>0</v>
      </c>
      <c r="AE80" s="8" t="s">
        <v>0</v>
      </c>
      <c r="AF80" s="8" t="s">
        <v>0</v>
      </c>
      <c r="AG80" s="8" t="s">
        <v>0</v>
      </c>
      <c r="AH80" s="8" t="s">
        <v>0</v>
      </c>
      <c r="AI80" s="8" t="s">
        <v>0</v>
      </c>
      <c r="AJ80" s="8" t="s">
        <v>0</v>
      </c>
      <c r="AK80" s="8" t="s">
        <v>0</v>
      </c>
      <c r="AL80" s="8" t="s">
        <v>0</v>
      </c>
      <c r="AM80" s="8" t="s">
        <v>0</v>
      </c>
      <c r="AN80" s="8" t="s">
        <v>0</v>
      </c>
    </row>
    <row r="81" spans="1:40" ht="22.5">
      <c r="A81" s="2" t="s">
        <v>26</v>
      </c>
      <c r="B81" s="2" t="s">
        <v>648</v>
      </c>
      <c r="C81" s="2" t="s">
        <v>550</v>
      </c>
      <c r="D81" s="2" t="s">
        <v>467</v>
      </c>
      <c r="E81" s="2" t="s">
        <v>444</v>
      </c>
      <c r="F81" s="2" t="s">
        <v>445</v>
      </c>
      <c r="G81" s="2" t="s">
        <v>924</v>
      </c>
      <c r="H81" s="2" t="s">
        <v>533</v>
      </c>
      <c r="I81" s="2" t="s">
        <v>0</v>
      </c>
      <c r="J81" s="2" t="s">
        <v>0</v>
      </c>
      <c r="K81" s="2" t="s">
        <v>0</v>
      </c>
      <c r="L81" s="2" t="s">
        <v>649</v>
      </c>
      <c r="M81" s="2" t="s">
        <v>27</v>
      </c>
      <c r="N81" s="2" t="s">
        <v>30</v>
      </c>
      <c r="O81" s="2" t="s">
        <v>28</v>
      </c>
      <c r="P81" s="2" t="s">
        <v>29</v>
      </c>
      <c r="Q81" s="2">
        <v>34</v>
      </c>
      <c r="R81" s="2">
        <v>12</v>
      </c>
      <c r="S81" s="2">
        <v>0</v>
      </c>
      <c r="T81" s="2">
        <v>0</v>
      </c>
      <c r="U81" s="2">
        <v>0</v>
      </c>
      <c r="V81" s="2">
        <v>10</v>
      </c>
      <c r="W81" s="2">
        <v>28</v>
      </c>
      <c r="X81" s="2">
        <v>1</v>
      </c>
      <c r="Y81" s="2">
        <v>18</v>
      </c>
      <c r="Z81" s="8" t="s">
        <v>0</v>
      </c>
      <c r="AA81" s="8" t="s">
        <v>0</v>
      </c>
      <c r="AB81" s="8" t="s">
        <v>0</v>
      </c>
      <c r="AC81" s="8" t="s">
        <v>0</v>
      </c>
      <c r="AD81" s="8" t="s">
        <v>0</v>
      </c>
      <c r="AE81" s="8" t="s">
        <v>0</v>
      </c>
      <c r="AF81" s="8" t="s">
        <v>0</v>
      </c>
      <c r="AG81" s="8" t="s">
        <v>0</v>
      </c>
      <c r="AH81" s="8" t="s">
        <v>0</v>
      </c>
      <c r="AI81" s="8" t="s">
        <v>0</v>
      </c>
      <c r="AJ81" s="8" t="s">
        <v>0</v>
      </c>
      <c r="AK81" s="8" t="s">
        <v>0</v>
      </c>
      <c r="AL81" s="8" t="s">
        <v>0</v>
      </c>
      <c r="AM81" s="8" t="s">
        <v>0</v>
      </c>
      <c r="AN81" s="8" t="s">
        <v>0</v>
      </c>
    </row>
    <row r="82" spans="1:40" ht="22.5">
      <c r="A82" s="2" t="s">
        <v>26</v>
      </c>
      <c r="B82" s="2" t="s">
        <v>650</v>
      </c>
      <c r="C82" s="2" t="s">
        <v>571</v>
      </c>
      <c r="D82" s="2" t="s">
        <v>467</v>
      </c>
      <c r="E82" s="2" t="s">
        <v>444</v>
      </c>
      <c r="F82" s="2" t="s">
        <v>445</v>
      </c>
      <c r="G82" s="2" t="s">
        <v>924</v>
      </c>
      <c r="H82" s="2" t="s">
        <v>533</v>
      </c>
      <c r="I82" s="2" t="s">
        <v>0</v>
      </c>
      <c r="J82" s="2" t="s">
        <v>0</v>
      </c>
      <c r="K82" s="2" t="s">
        <v>0</v>
      </c>
      <c r="L82" s="2" t="s">
        <v>651</v>
      </c>
      <c r="M82" s="2" t="s">
        <v>27</v>
      </c>
      <c r="N82" s="2" t="s">
        <v>30</v>
      </c>
      <c r="O82" s="2" t="s">
        <v>28</v>
      </c>
      <c r="P82" s="2" t="s">
        <v>29</v>
      </c>
      <c r="Q82" s="2">
        <v>34</v>
      </c>
      <c r="R82" s="2">
        <v>12</v>
      </c>
      <c r="S82" s="2">
        <v>0</v>
      </c>
      <c r="T82" s="2">
        <v>0</v>
      </c>
      <c r="U82" s="2">
        <v>0</v>
      </c>
      <c r="V82" s="2">
        <v>10</v>
      </c>
      <c r="W82" s="2">
        <v>28</v>
      </c>
      <c r="X82" s="2">
        <v>1</v>
      </c>
      <c r="Y82" s="2">
        <v>18</v>
      </c>
      <c r="Z82" s="8" t="s">
        <v>0</v>
      </c>
      <c r="AA82" s="8" t="s">
        <v>0</v>
      </c>
      <c r="AB82" s="8" t="s">
        <v>0</v>
      </c>
      <c r="AC82" s="8" t="s">
        <v>0</v>
      </c>
      <c r="AD82" s="8" t="s">
        <v>0</v>
      </c>
      <c r="AE82" s="8" t="s">
        <v>0</v>
      </c>
      <c r="AF82" s="8" t="s">
        <v>0</v>
      </c>
      <c r="AG82" s="8" t="s">
        <v>0</v>
      </c>
      <c r="AH82" s="8" t="s">
        <v>0</v>
      </c>
      <c r="AI82" s="8" t="s">
        <v>0</v>
      </c>
      <c r="AJ82" s="8" t="s">
        <v>0</v>
      </c>
      <c r="AK82" s="8" t="s">
        <v>0</v>
      </c>
      <c r="AL82" s="8" t="s">
        <v>0</v>
      </c>
      <c r="AM82" s="8" t="s">
        <v>0</v>
      </c>
      <c r="AN82" s="8" t="s">
        <v>0</v>
      </c>
    </row>
    <row r="83" spans="1:40" ht="22.5">
      <c r="A83" s="2" t="s">
        <v>26</v>
      </c>
      <c r="B83" s="2" t="s">
        <v>652</v>
      </c>
      <c r="C83" s="2" t="s">
        <v>455</v>
      </c>
      <c r="D83" s="2" t="s">
        <v>470</v>
      </c>
      <c r="E83" s="2" t="s">
        <v>444</v>
      </c>
      <c r="F83" s="2" t="s">
        <v>445</v>
      </c>
      <c r="G83" s="2" t="s">
        <v>924</v>
      </c>
      <c r="H83" s="2" t="s">
        <v>533</v>
      </c>
      <c r="I83" s="2" t="s">
        <v>0</v>
      </c>
      <c r="J83" s="2" t="s">
        <v>0</v>
      </c>
      <c r="K83" s="2" t="s">
        <v>0</v>
      </c>
      <c r="L83" s="2" t="s">
        <v>653</v>
      </c>
      <c r="M83" s="2" t="s">
        <v>27</v>
      </c>
      <c r="N83" s="2" t="s">
        <v>30</v>
      </c>
      <c r="O83" s="2" t="s">
        <v>28</v>
      </c>
      <c r="P83" s="2" t="s">
        <v>29</v>
      </c>
      <c r="Q83" s="2">
        <v>34</v>
      </c>
      <c r="R83" s="2">
        <v>12</v>
      </c>
      <c r="S83" s="2">
        <v>0</v>
      </c>
      <c r="T83" s="2">
        <v>0</v>
      </c>
      <c r="U83" s="2">
        <v>0</v>
      </c>
      <c r="V83" s="2">
        <v>10</v>
      </c>
      <c r="W83" s="2">
        <v>28</v>
      </c>
      <c r="X83" s="2">
        <v>1</v>
      </c>
      <c r="Y83" s="2">
        <v>18</v>
      </c>
      <c r="Z83" s="8" t="s">
        <v>0</v>
      </c>
      <c r="AA83" s="8" t="s">
        <v>0</v>
      </c>
      <c r="AB83" s="8" t="s">
        <v>0</v>
      </c>
      <c r="AC83" s="8" t="s">
        <v>0</v>
      </c>
      <c r="AD83" s="8" t="s">
        <v>0</v>
      </c>
      <c r="AE83" s="8" t="s">
        <v>0</v>
      </c>
      <c r="AF83" s="8" t="s">
        <v>0</v>
      </c>
      <c r="AG83" s="8" t="s">
        <v>0</v>
      </c>
      <c r="AH83" s="8" t="s">
        <v>0</v>
      </c>
      <c r="AI83" s="8" t="s">
        <v>0</v>
      </c>
      <c r="AJ83" s="8" t="s">
        <v>0</v>
      </c>
      <c r="AK83" s="8" t="s">
        <v>0</v>
      </c>
      <c r="AL83" s="8" t="s">
        <v>0</v>
      </c>
      <c r="AM83" s="8" t="s">
        <v>0</v>
      </c>
      <c r="AN83" s="8" t="s">
        <v>0</v>
      </c>
    </row>
    <row r="84" spans="1:40" ht="22.5">
      <c r="A84" s="2" t="s">
        <v>26</v>
      </c>
      <c r="B84" s="2" t="s">
        <v>654</v>
      </c>
      <c r="C84" s="2" t="s">
        <v>449</v>
      </c>
      <c r="D84" s="2" t="s">
        <v>470</v>
      </c>
      <c r="E84" s="2" t="s">
        <v>444</v>
      </c>
      <c r="F84" s="2" t="s">
        <v>445</v>
      </c>
      <c r="G84" s="2" t="s">
        <v>924</v>
      </c>
      <c r="H84" s="2" t="s">
        <v>533</v>
      </c>
      <c r="I84" s="2" t="s">
        <v>0</v>
      </c>
      <c r="J84" s="2" t="s">
        <v>0</v>
      </c>
      <c r="K84" s="2" t="s">
        <v>0</v>
      </c>
      <c r="L84" s="2" t="s">
        <v>655</v>
      </c>
      <c r="M84" s="2" t="s">
        <v>27</v>
      </c>
      <c r="N84" s="2" t="s">
        <v>30</v>
      </c>
      <c r="O84" s="2" t="s">
        <v>28</v>
      </c>
      <c r="P84" s="2" t="s">
        <v>29</v>
      </c>
      <c r="Q84" s="2">
        <v>34</v>
      </c>
      <c r="R84" s="2">
        <v>12</v>
      </c>
      <c r="S84" s="2">
        <v>0</v>
      </c>
      <c r="T84" s="2">
        <v>0</v>
      </c>
      <c r="U84" s="2">
        <v>0</v>
      </c>
      <c r="V84" s="2">
        <v>10</v>
      </c>
      <c r="W84" s="2">
        <v>28</v>
      </c>
      <c r="X84" s="2">
        <v>1</v>
      </c>
      <c r="Y84" s="2">
        <v>18</v>
      </c>
      <c r="Z84" s="8" t="s">
        <v>0</v>
      </c>
      <c r="AA84" s="8" t="s">
        <v>0</v>
      </c>
      <c r="AB84" s="8" t="s">
        <v>0</v>
      </c>
      <c r="AC84" s="8" t="s">
        <v>0</v>
      </c>
      <c r="AD84" s="8" t="s">
        <v>0</v>
      </c>
      <c r="AE84" s="8" t="s">
        <v>0</v>
      </c>
      <c r="AF84" s="8" t="s">
        <v>0</v>
      </c>
      <c r="AG84" s="8" t="s">
        <v>0</v>
      </c>
      <c r="AH84" s="8" t="s">
        <v>0</v>
      </c>
      <c r="AI84" s="8" t="s">
        <v>0</v>
      </c>
      <c r="AJ84" s="8" t="s">
        <v>0</v>
      </c>
      <c r="AK84" s="8" t="s">
        <v>0</v>
      </c>
      <c r="AL84" s="8" t="s">
        <v>0</v>
      </c>
      <c r="AM84" s="8" t="s">
        <v>0</v>
      </c>
      <c r="AN84" s="8" t="s">
        <v>0</v>
      </c>
    </row>
    <row r="85" spans="1:40" ht="22.5">
      <c r="A85" s="2" t="s">
        <v>26</v>
      </c>
      <c r="B85" s="2" t="s">
        <v>656</v>
      </c>
      <c r="C85" s="2" t="s">
        <v>566</v>
      </c>
      <c r="D85" s="2" t="s">
        <v>657</v>
      </c>
      <c r="E85" s="2" t="s">
        <v>444</v>
      </c>
      <c r="F85" s="2" t="s">
        <v>445</v>
      </c>
      <c r="G85" s="2" t="s">
        <v>924</v>
      </c>
      <c r="H85" s="2" t="s">
        <v>533</v>
      </c>
      <c r="I85" s="2" t="s">
        <v>0</v>
      </c>
      <c r="J85" s="2" t="s">
        <v>0</v>
      </c>
      <c r="K85" s="2" t="s">
        <v>0</v>
      </c>
      <c r="L85" s="2" t="s">
        <v>658</v>
      </c>
      <c r="M85" s="2" t="s">
        <v>27</v>
      </c>
      <c r="N85" s="2" t="s">
        <v>30</v>
      </c>
      <c r="O85" s="2" t="s">
        <v>28</v>
      </c>
      <c r="P85" s="2" t="s">
        <v>29</v>
      </c>
      <c r="Q85" s="2">
        <v>34</v>
      </c>
      <c r="R85" s="2">
        <v>12</v>
      </c>
      <c r="S85" s="2">
        <v>0</v>
      </c>
      <c r="T85" s="2">
        <v>0</v>
      </c>
      <c r="U85" s="2">
        <v>0</v>
      </c>
      <c r="V85" s="2">
        <v>10</v>
      </c>
      <c r="W85" s="2">
        <v>28</v>
      </c>
      <c r="X85" s="2">
        <v>1</v>
      </c>
      <c r="Y85" s="2">
        <v>18</v>
      </c>
      <c r="Z85" s="8" t="s">
        <v>0</v>
      </c>
      <c r="AA85" s="8" t="s">
        <v>0</v>
      </c>
      <c r="AB85" s="8" t="s">
        <v>0</v>
      </c>
      <c r="AC85" s="8" t="s">
        <v>0</v>
      </c>
      <c r="AD85" s="8" t="s">
        <v>0</v>
      </c>
      <c r="AE85" s="8" t="s">
        <v>0</v>
      </c>
      <c r="AF85" s="8" t="s">
        <v>0</v>
      </c>
      <c r="AG85" s="8" t="s">
        <v>0</v>
      </c>
      <c r="AH85" s="8" t="s">
        <v>0</v>
      </c>
      <c r="AI85" s="8" t="s">
        <v>0</v>
      </c>
      <c r="AJ85" s="8" t="s">
        <v>0</v>
      </c>
      <c r="AK85" s="8" t="s">
        <v>0</v>
      </c>
      <c r="AL85" s="8" t="s">
        <v>0</v>
      </c>
      <c r="AM85" s="8" t="s">
        <v>0</v>
      </c>
      <c r="AN85" s="8" t="s">
        <v>0</v>
      </c>
    </row>
    <row r="86" spans="1:40" ht="22.5">
      <c r="A86" s="2" t="s">
        <v>26</v>
      </c>
      <c r="B86" s="2" t="s">
        <v>659</v>
      </c>
      <c r="C86" s="2" t="s">
        <v>459</v>
      </c>
      <c r="D86" s="2" t="s">
        <v>657</v>
      </c>
      <c r="E86" s="2" t="s">
        <v>444</v>
      </c>
      <c r="F86" s="2" t="s">
        <v>445</v>
      </c>
      <c r="G86" s="2" t="s">
        <v>924</v>
      </c>
      <c r="H86" s="2" t="s">
        <v>533</v>
      </c>
      <c r="I86" s="2" t="s">
        <v>0</v>
      </c>
      <c r="J86" s="2" t="s">
        <v>0</v>
      </c>
      <c r="K86" s="2" t="s">
        <v>0</v>
      </c>
      <c r="L86" s="2" t="s">
        <v>660</v>
      </c>
      <c r="M86" s="2" t="s">
        <v>27</v>
      </c>
      <c r="N86" s="2" t="s">
        <v>30</v>
      </c>
      <c r="O86" s="2" t="s">
        <v>28</v>
      </c>
      <c r="P86" s="2" t="s">
        <v>29</v>
      </c>
      <c r="Q86" s="2">
        <v>34</v>
      </c>
      <c r="R86" s="2">
        <v>12</v>
      </c>
      <c r="S86" s="2">
        <v>0</v>
      </c>
      <c r="T86" s="2">
        <v>0</v>
      </c>
      <c r="U86" s="2">
        <v>0</v>
      </c>
      <c r="V86" s="2">
        <v>10</v>
      </c>
      <c r="W86" s="2">
        <v>28</v>
      </c>
      <c r="X86" s="2">
        <v>1</v>
      </c>
      <c r="Y86" s="2">
        <v>18</v>
      </c>
      <c r="Z86" s="8" t="s">
        <v>0</v>
      </c>
      <c r="AA86" s="8" t="s">
        <v>0</v>
      </c>
      <c r="AB86" s="8" t="s">
        <v>0</v>
      </c>
      <c r="AC86" s="8" t="s">
        <v>0</v>
      </c>
      <c r="AD86" s="8" t="s">
        <v>0</v>
      </c>
      <c r="AE86" s="8" t="s">
        <v>0</v>
      </c>
      <c r="AF86" s="8" t="s">
        <v>0</v>
      </c>
      <c r="AG86" s="8" t="s">
        <v>0</v>
      </c>
      <c r="AH86" s="8" t="s">
        <v>0</v>
      </c>
      <c r="AI86" s="8" t="s">
        <v>0</v>
      </c>
      <c r="AJ86" s="8" t="s">
        <v>0</v>
      </c>
      <c r="AK86" s="8" t="s">
        <v>0</v>
      </c>
      <c r="AL86" s="8" t="s">
        <v>0</v>
      </c>
      <c r="AM86" s="8" t="s">
        <v>0</v>
      </c>
      <c r="AN86" s="8" t="s">
        <v>0</v>
      </c>
    </row>
    <row r="87" spans="1:40" ht="22.5">
      <c r="A87" s="2" t="s">
        <v>26</v>
      </c>
      <c r="B87" s="2" t="s">
        <v>661</v>
      </c>
      <c r="C87" s="2" t="s">
        <v>566</v>
      </c>
      <c r="D87" s="2" t="s">
        <v>474</v>
      </c>
      <c r="E87" s="2" t="s">
        <v>444</v>
      </c>
      <c r="F87" s="2" t="s">
        <v>445</v>
      </c>
      <c r="G87" s="2" t="s">
        <v>924</v>
      </c>
      <c r="H87" s="2" t="s">
        <v>533</v>
      </c>
      <c r="I87" s="2" t="s">
        <v>0</v>
      </c>
      <c r="J87" s="2" t="s">
        <v>0</v>
      </c>
      <c r="K87" s="2" t="s">
        <v>0</v>
      </c>
      <c r="L87" s="2" t="s">
        <v>662</v>
      </c>
      <c r="M87" s="2" t="s">
        <v>27</v>
      </c>
      <c r="N87" s="2" t="s">
        <v>30</v>
      </c>
      <c r="O87" s="2" t="s">
        <v>28</v>
      </c>
      <c r="P87" s="2" t="s">
        <v>29</v>
      </c>
      <c r="Q87" s="2">
        <v>34</v>
      </c>
      <c r="R87" s="2">
        <v>12</v>
      </c>
      <c r="S87" s="2">
        <v>0</v>
      </c>
      <c r="T87" s="2">
        <v>0</v>
      </c>
      <c r="U87" s="2">
        <v>0</v>
      </c>
      <c r="V87" s="2">
        <v>10</v>
      </c>
      <c r="W87" s="2">
        <v>28</v>
      </c>
      <c r="X87" s="2">
        <v>1</v>
      </c>
      <c r="Y87" s="2">
        <v>18</v>
      </c>
      <c r="Z87" s="8" t="s">
        <v>0</v>
      </c>
      <c r="AA87" s="8" t="s">
        <v>0</v>
      </c>
      <c r="AB87" s="8" t="s">
        <v>0</v>
      </c>
      <c r="AC87" s="8" t="s">
        <v>0</v>
      </c>
      <c r="AD87" s="8" t="s">
        <v>0</v>
      </c>
      <c r="AE87" s="8" t="s">
        <v>0</v>
      </c>
      <c r="AF87" s="8" t="s">
        <v>0</v>
      </c>
      <c r="AG87" s="8" t="s">
        <v>0</v>
      </c>
      <c r="AH87" s="8" t="s">
        <v>0</v>
      </c>
      <c r="AI87" s="8" t="s">
        <v>0</v>
      </c>
      <c r="AJ87" s="8" t="s">
        <v>0</v>
      </c>
      <c r="AK87" s="8" t="s">
        <v>0</v>
      </c>
      <c r="AL87" s="8" t="s">
        <v>0</v>
      </c>
      <c r="AM87" s="8" t="s">
        <v>0</v>
      </c>
      <c r="AN87" s="8" t="s">
        <v>0</v>
      </c>
    </row>
    <row r="88" spans="1:40" ht="22.5">
      <c r="A88" s="2" t="s">
        <v>26</v>
      </c>
      <c r="B88" s="2" t="s">
        <v>663</v>
      </c>
      <c r="C88" s="2" t="s">
        <v>510</v>
      </c>
      <c r="D88" s="2" t="s">
        <v>474</v>
      </c>
      <c r="E88" s="2" t="s">
        <v>444</v>
      </c>
      <c r="F88" s="2" t="s">
        <v>445</v>
      </c>
      <c r="G88" s="2" t="s">
        <v>924</v>
      </c>
      <c r="H88" s="2" t="s">
        <v>533</v>
      </c>
      <c r="I88" s="2" t="s">
        <v>0</v>
      </c>
      <c r="J88" s="2" t="s">
        <v>0</v>
      </c>
      <c r="K88" s="2" t="s">
        <v>0</v>
      </c>
      <c r="L88" s="2" t="s">
        <v>664</v>
      </c>
      <c r="M88" s="2" t="s">
        <v>27</v>
      </c>
      <c r="N88" s="2" t="s">
        <v>30</v>
      </c>
      <c r="O88" s="2" t="s">
        <v>28</v>
      </c>
      <c r="P88" s="2" t="s">
        <v>29</v>
      </c>
      <c r="Q88" s="2">
        <v>34</v>
      </c>
      <c r="R88" s="2">
        <v>12</v>
      </c>
      <c r="S88" s="2">
        <v>0</v>
      </c>
      <c r="T88" s="2">
        <v>0</v>
      </c>
      <c r="U88" s="2">
        <v>0</v>
      </c>
      <c r="V88" s="2">
        <v>10</v>
      </c>
      <c r="W88" s="2">
        <v>28</v>
      </c>
      <c r="X88" s="2">
        <v>1</v>
      </c>
      <c r="Y88" s="2">
        <v>18</v>
      </c>
      <c r="Z88" s="8" t="s">
        <v>0</v>
      </c>
      <c r="AA88" s="8" t="s">
        <v>0</v>
      </c>
      <c r="AB88" s="8" t="s">
        <v>0</v>
      </c>
      <c r="AC88" s="8" t="s">
        <v>0</v>
      </c>
      <c r="AD88" s="8" t="s">
        <v>0</v>
      </c>
      <c r="AE88" s="8" t="s">
        <v>0</v>
      </c>
      <c r="AF88" s="8" t="s">
        <v>0</v>
      </c>
      <c r="AG88" s="8" t="s">
        <v>0</v>
      </c>
      <c r="AH88" s="8" t="s">
        <v>0</v>
      </c>
      <c r="AI88" s="8" t="s">
        <v>0</v>
      </c>
      <c r="AJ88" s="8" t="s">
        <v>0</v>
      </c>
      <c r="AK88" s="8" t="s">
        <v>0</v>
      </c>
      <c r="AL88" s="8" t="s">
        <v>0</v>
      </c>
      <c r="AM88" s="8" t="s">
        <v>0</v>
      </c>
      <c r="AN88" s="8" t="s">
        <v>0</v>
      </c>
    </row>
    <row r="89" spans="1:40" ht="22.5">
      <c r="A89" s="2" t="s">
        <v>26</v>
      </c>
      <c r="B89" s="2" t="s">
        <v>665</v>
      </c>
      <c r="C89" s="2" t="s">
        <v>550</v>
      </c>
      <c r="D89" s="2" t="s">
        <v>666</v>
      </c>
      <c r="E89" s="2" t="s">
        <v>444</v>
      </c>
      <c r="F89" s="2" t="s">
        <v>445</v>
      </c>
      <c r="G89" s="2" t="s">
        <v>924</v>
      </c>
      <c r="H89" s="2" t="s">
        <v>533</v>
      </c>
      <c r="I89" s="2" t="s">
        <v>0</v>
      </c>
      <c r="J89" s="2" t="s">
        <v>0</v>
      </c>
      <c r="K89" s="2" t="s">
        <v>0</v>
      </c>
      <c r="L89" s="2" t="s">
        <v>667</v>
      </c>
      <c r="M89" s="2" t="s">
        <v>27</v>
      </c>
      <c r="N89" s="2" t="s">
        <v>30</v>
      </c>
      <c r="O89" s="2" t="s">
        <v>28</v>
      </c>
      <c r="P89" s="2" t="s">
        <v>29</v>
      </c>
      <c r="Q89" s="2">
        <v>34</v>
      </c>
      <c r="R89" s="2">
        <v>12</v>
      </c>
      <c r="S89" s="2">
        <v>0</v>
      </c>
      <c r="T89" s="2">
        <v>0</v>
      </c>
      <c r="U89" s="2">
        <v>0</v>
      </c>
      <c r="V89" s="2">
        <v>10</v>
      </c>
      <c r="W89" s="2">
        <v>28</v>
      </c>
      <c r="X89" s="2">
        <v>1</v>
      </c>
      <c r="Y89" s="2">
        <v>18</v>
      </c>
      <c r="Z89" s="8" t="s">
        <v>0</v>
      </c>
      <c r="AA89" s="8" t="s">
        <v>0</v>
      </c>
      <c r="AB89" s="8" t="s">
        <v>0</v>
      </c>
      <c r="AC89" s="8" t="s">
        <v>0</v>
      </c>
      <c r="AD89" s="8" t="s">
        <v>0</v>
      </c>
      <c r="AE89" s="8" t="s">
        <v>0</v>
      </c>
      <c r="AF89" s="8" t="s">
        <v>0</v>
      </c>
      <c r="AG89" s="8" t="s">
        <v>0</v>
      </c>
      <c r="AH89" s="8" t="s">
        <v>0</v>
      </c>
      <c r="AI89" s="8" t="s">
        <v>0</v>
      </c>
      <c r="AJ89" s="8" t="s">
        <v>0</v>
      </c>
      <c r="AK89" s="8" t="s">
        <v>0</v>
      </c>
      <c r="AL89" s="8" t="s">
        <v>0</v>
      </c>
      <c r="AM89" s="8" t="s">
        <v>0</v>
      </c>
      <c r="AN89" s="8" t="s">
        <v>0</v>
      </c>
    </row>
    <row r="90" spans="1:40" ht="22.5">
      <c r="A90" s="2" t="s">
        <v>26</v>
      </c>
      <c r="B90" s="2" t="s">
        <v>668</v>
      </c>
      <c r="C90" s="2" t="s">
        <v>528</v>
      </c>
      <c r="D90" s="2" t="s">
        <v>666</v>
      </c>
      <c r="E90" s="2" t="s">
        <v>444</v>
      </c>
      <c r="F90" s="2" t="s">
        <v>445</v>
      </c>
      <c r="G90" s="2" t="s">
        <v>924</v>
      </c>
      <c r="H90" s="2" t="s">
        <v>533</v>
      </c>
      <c r="I90" s="2" t="s">
        <v>0</v>
      </c>
      <c r="J90" s="2" t="s">
        <v>0</v>
      </c>
      <c r="K90" s="2" t="s">
        <v>0</v>
      </c>
      <c r="L90" s="2" t="s">
        <v>669</v>
      </c>
      <c r="M90" s="2" t="s">
        <v>27</v>
      </c>
      <c r="N90" s="2" t="s">
        <v>30</v>
      </c>
      <c r="O90" s="2" t="s">
        <v>28</v>
      </c>
      <c r="P90" s="2" t="s">
        <v>29</v>
      </c>
      <c r="Q90" s="2">
        <v>34</v>
      </c>
      <c r="R90" s="2">
        <v>12</v>
      </c>
      <c r="S90" s="2">
        <v>0</v>
      </c>
      <c r="T90" s="2">
        <v>0</v>
      </c>
      <c r="U90" s="2">
        <v>0</v>
      </c>
      <c r="V90" s="2">
        <v>10</v>
      </c>
      <c r="W90" s="2">
        <v>28</v>
      </c>
      <c r="X90" s="2">
        <v>1</v>
      </c>
      <c r="Y90" s="2">
        <v>18</v>
      </c>
      <c r="Z90" s="8" t="s">
        <v>0</v>
      </c>
      <c r="AA90" s="8" t="s">
        <v>0</v>
      </c>
      <c r="AB90" s="8" t="s">
        <v>0</v>
      </c>
      <c r="AC90" s="8" t="s">
        <v>0</v>
      </c>
      <c r="AD90" s="8" t="s">
        <v>0</v>
      </c>
      <c r="AE90" s="8" t="s">
        <v>0</v>
      </c>
      <c r="AF90" s="8" t="s">
        <v>0</v>
      </c>
      <c r="AG90" s="8" t="s">
        <v>0</v>
      </c>
      <c r="AH90" s="8" t="s">
        <v>0</v>
      </c>
      <c r="AI90" s="8" t="s">
        <v>0</v>
      </c>
      <c r="AJ90" s="8" t="s">
        <v>0</v>
      </c>
      <c r="AK90" s="8" t="s">
        <v>0</v>
      </c>
      <c r="AL90" s="8" t="s">
        <v>0</v>
      </c>
      <c r="AM90" s="8" t="s">
        <v>0</v>
      </c>
      <c r="AN90" s="8" t="s">
        <v>0</v>
      </c>
    </row>
    <row r="91" spans="1:40" ht="22.5">
      <c r="A91" s="2" t="s">
        <v>26</v>
      </c>
      <c r="B91" s="2" t="s">
        <v>670</v>
      </c>
      <c r="C91" s="2" t="s">
        <v>473</v>
      </c>
      <c r="D91" s="2" t="s">
        <v>500</v>
      </c>
      <c r="E91" s="2" t="s">
        <v>444</v>
      </c>
      <c r="F91" s="2" t="s">
        <v>445</v>
      </c>
      <c r="G91" s="2" t="s">
        <v>924</v>
      </c>
      <c r="H91" s="2" t="s">
        <v>533</v>
      </c>
      <c r="I91" s="2" t="s">
        <v>0</v>
      </c>
      <c r="J91" s="2" t="s">
        <v>0</v>
      </c>
      <c r="K91" s="2" t="s">
        <v>0</v>
      </c>
      <c r="L91" s="2" t="s">
        <v>671</v>
      </c>
      <c r="M91" s="2" t="s">
        <v>27</v>
      </c>
      <c r="N91" s="2" t="s">
        <v>30</v>
      </c>
      <c r="O91" s="2" t="s">
        <v>28</v>
      </c>
      <c r="P91" s="2" t="s">
        <v>29</v>
      </c>
      <c r="Q91" s="2">
        <v>34</v>
      </c>
      <c r="R91" s="2">
        <v>12</v>
      </c>
      <c r="S91" s="2">
        <v>0</v>
      </c>
      <c r="T91" s="2">
        <v>0</v>
      </c>
      <c r="U91" s="2">
        <v>0</v>
      </c>
      <c r="V91" s="2">
        <v>10</v>
      </c>
      <c r="W91" s="2">
        <v>28</v>
      </c>
      <c r="X91" s="2">
        <v>1</v>
      </c>
      <c r="Y91" s="2">
        <v>18</v>
      </c>
      <c r="Z91" s="8" t="s">
        <v>0</v>
      </c>
      <c r="AA91" s="8" t="s">
        <v>0</v>
      </c>
      <c r="AB91" s="8" t="s">
        <v>0</v>
      </c>
      <c r="AC91" s="8" t="s">
        <v>0</v>
      </c>
      <c r="AD91" s="8" t="s">
        <v>0</v>
      </c>
      <c r="AE91" s="8" t="s">
        <v>0</v>
      </c>
      <c r="AF91" s="8" t="s">
        <v>0</v>
      </c>
      <c r="AG91" s="8" t="s">
        <v>0</v>
      </c>
      <c r="AH91" s="8" t="s">
        <v>0</v>
      </c>
      <c r="AI91" s="8" t="s">
        <v>0</v>
      </c>
      <c r="AJ91" s="8" t="s">
        <v>0</v>
      </c>
      <c r="AK91" s="8" t="s">
        <v>0</v>
      </c>
      <c r="AL91" s="8" t="s">
        <v>0</v>
      </c>
      <c r="AM91" s="8" t="s">
        <v>0</v>
      </c>
      <c r="AN91" s="8" t="s">
        <v>0</v>
      </c>
    </row>
    <row r="92" spans="1:40" ht="22.5">
      <c r="A92" s="2" t="s">
        <v>26</v>
      </c>
      <c r="B92" s="2" t="s">
        <v>672</v>
      </c>
      <c r="C92" s="2" t="s">
        <v>571</v>
      </c>
      <c r="D92" s="2" t="s">
        <v>500</v>
      </c>
      <c r="E92" s="2" t="s">
        <v>444</v>
      </c>
      <c r="F92" s="2" t="s">
        <v>445</v>
      </c>
      <c r="G92" s="2" t="s">
        <v>924</v>
      </c>
      <c r="H92" s="2" t="s">
        <v>533</v>
      </c>
      <c r="I92" s="2" t="s">
        <v>0</v>
      </c>
      <c r="J92" s="2" t="s">
        <v>0</v>
      </c>
      <c r="K92" s="2" t="s">
        <v>0</v>
      </c>
      <c r="L92" s="2" t="s">
        <v>673</v>
      </c>
      <c r="M92" s="2" t="s">
        <v>27</v>
      </c>
      <c r="N92" s="2" t="s">
        <v>30</v>
      </c>
      <c r="O92" s="2" t="s">
        <v>28</v>
      </c>
      <c r="P92" s="2" t="s">
        <v>29</v>
      </c>
      <c r="Q92" s="2">
        <v>34</v>
      </c>
      <c r="R92" s="2">
        <v>12</v>
      </c>
      <c r="S92" s="2">
        <v>0</v>
      </c>
      <c r="T92" s="2">
        <v>0</v>
      </c>
      <c r="U92" s="2">
        <v>0</v>
      </c>
      <c r="V92" s="2">
        <v>10</v>
      </c>
      <c r="W92" s="2">
        <v>28</v>
      </c>
      <c r="X92" s="2">
        <v>1</v>
      </c>
      <c r="Y92" s="2">
        <v>18</v>
      </c>
      <c r="Z92" s="8" t="s">
        <v>0</v>
      </c>
      <c r="AA92" s="8" t="s">
        <v>0</v>
      </c>
      <c r="AB92" s="8" t="s">
        <v>0</v>
      </c>
      <c r="AC92" s="8" t="s">
        <v>0</v>
      </c>
      <c r="AD92" s="8" t="s">
        <v>0</v>
      </c>
      <c r="AE92" s="8" t="s">
        <v>0</v>
      </c>
      <c r="AF92" s="8" t="s">
        <v>0</v>
      </c>
      <c r="AG92" s="8" t="s">
        <v>0</v>
      </c>
      <c r="AH92" s="8" t="s">
        <v>0</v>
      </c>
      <c r="AI92" s="8" t="s">
        <v>0</v>
      </c>
      <c r="AJ92" s="8" t="s">
        <v>0</v>
      </c>
      <c r="AK92" s="8" t="s">
        <v>0</v>
      </c>
      <c r="AL92" s="8" t="s">
        <v>0</v>
      </c>
      <c r="AM92" s="8" t="s">
        <v>0</v>
      </c>
      <c r="AN92" s="8" t="s">
        <v>0</v>
      </c>
    </row>
    <row r="93" spans="1:40" ht="22.5">
      <c r="A93" s="2" t="s">
        <v>26</v>
      </c>
      <c r="B93" s="2" t="s">
        <v>674</v>
      </c>
      <c r="C93" s="2" t="s">
        <v>477</v>
      </c>
      <c r="D93" s="2" t="s">
        <v>443</v>
      </c>
      <c r="E93" s="2" t="s">
        <v>444</v>
      </c>
      <c r="F93" s="2" t="s">
        <v>445</v>
      </c>
      <c r="G93" s="2" t="s">
        <v>925</v>
      </c>
      <c r="H93" s="2" t="s">
        <v>0</v>
      </c>
      <c r="I93" s="2" t="s">
        <v>675</v>
      </c>
      <c r="J93" s="2" t="s">
        <v>0</v>
      </c>
      <c r="K93" s="2" t="s">
        <v>0</v>
      </c>
      <c r="L93" s="2" t="s">
        <v>676</v>
      </c>
      <c r="M93" s="2" t="s">
        <v>27</v>
      </c>
      <c r="N93" s="2" t="s">
        <v>30</v>
      </c>
      <c r="O93" s="2" t="s">
        <v>28</v>
      </c>
      <c r="P93" s="2" t="s">
        <v>29</v>
      </c>
      <c r="Q93" s="2">
        <v>34</v>
      </c>
      <c r="R93" s="2">
        <v>12</v>
      </c>
      <c r="S93" s="2">
        <v>0</v>
      </c>
      <c r="T93" s="2">
        <v>0</v>
      </c>
      <c r="U93" s="2">
        <v>0</v>
      </c>
      <c r="V93" s="2">
        <v>10</v>
      </c>
      <c r="W93" s="2">
        <v>28</v>
      </c>
      <c r="X93" s="2">
        <v>1</v>
      </c>
      <c r="Y93" s="2">
        <v>18</v>
      </c>
      <c r="Z93" s="8" t="s">
        <v>0</v>
      </c>
      <c r="AA93" s="8" t="s">
        <v>0</v>
      </c>
      <c r="AB93" s="8" t="s">
        <v>0</v>
      </c>
      <c r="AC93" s="8" t="s">
        <v>0</v>
      </c>
      <c r="AD93" s="8" t="s">
        <v>0</v>
      </c>
      <c r="AE93" s="8" t="s">
        <v>0</v>
      </c>
      <c r="AF93" s="8" t="s">
        <v>0</v>
      </c>
      <c r="AG93" s="8" t="s">
        <v>0</v>
      </c>
      <c r="AH93" s="8" t="s">
        <v>0</v>
      </c>
      <c r="AI93" s="8" t="s">
        <v>0</v>
      </c>
      <c r="AJ93" s="8" t="s">
        <v>0</v>
      </c>
      <c r="AK93" s="8" t="s">
        <v>0</v>
      </c>
      <c r="AL93" s="8" t="s">
        <v>0</v>
      </c>
      <c r="AM93" s="8" t="s">
        <v>0</v>
      </c>
      <c r="AN93" s="8" t="s">
        <v>0</v>
      </c>
    </row>
    <row r="94" spans="1:40" ht="22.5">
      <c r="A94" s="2" t="s">
        <v>26</v>
      </c>
      <c r="B94" s="2" t="s">
        <v>677</v>
      </c>
      <c r="C94" s="2" t="s">
        <v>449</v>
      </c>
      <c r="D94" s="2" t="s">
        <v>503</v>
      </c>
      <c r="E94" s="2" t="s">
        <v>444</v>
      </c>
      <c r="F94" s="2" t="s">
        <v>445</v>
      </c>
      <c r="G94" s="2" t="s">
        <v>925</v>
      </c>
      <c r="H94" s="2" t="s">
        <v>0</v>
      </c>
      <c r="I94" s="2" t="s">
        <v>675</v>
      </c>
      <c r="J94" s="2" t="s">
        <v>0</v>
      </c>
      <c r="K94" s="2" t="s">
        <v>0</v>
      </c>
      <c r="L94" s="2" t="s">
        <v>678</v>
      </c>
      <c r="M94" s="2" t="s">
        <v>27</v>
      </c>
      <c r="N94" s="2" t="s">
        <v>30</v>
      </c>
      <c r="O94" s="2" t="s">
        <v>28</v>
      </c>
      <c r="P94" s="2" t="s">
        <v>29</v>
      </c>
      <c r="Q94" s="2">
        <v>34</v>
      </c>
      <c r="R94" s="2">
        <v>12</v>
      </c>
      <c r="S94" s="2">
        <v>0</v>
      </c>
      <c r="T94" s="2">
        <v>0</v>
      </c>
      <c r="U94" s="2">
        <v>0</v>
      </c>
      <c r="V94" s="2">
        <v>10</v>
      </c>
      <c r="W94" s="2">
        <v>28</v>
      </c>
      <c r="X94" s="2">
        <v>1</v>
      </c>
      <c r="Y94" s="2">
        <v>18</v>
      </c>
      <c r="Z94" s="8" t="s">
        <v>0</v>
      </c>
      <c r="AA94" s="8" t="s">
        <v>0</v>
      </c>
      <c r="AB94" s="8" t="s">
        <v>0</v>
      </c>
      <c r="AC94" s="8" t="s">
        <v>0</v>
      </c>
      <c r="AD94" s="8" t="s">
        <v>0</v>
      </c>
      <c r="AE94" s="8" t="s">
        <v>0</v>
      </c>
      <c r="AF94" s="8" t="s">
        <v>0</v>
      </c>
      <c r="AG94" s="8" t="s">
        <v>0</v>
      </c>
      <c r="AH94" s="8" t="s">
        <v>0</v>
      </c>
      <c r="AI94" s="8" t="s">
        <v>0</v>
      </c>
      <c r="AJ94" s="8" t="s">
        <v>0</v>
      </c>
      <c r="AK94" s="8" t="s">
        <v>0</v>
      </c>
      <c r="AL94" s="8" t="s">
        <v>0</v>
      </c>
      <c r="AM94" s="8" t="s">
        <v>0</v>
      </c>
      <c r="AN94" s="8" t="s">
        <v>0</v>
      </c>
    </row>
    <row r="95" spans="1:40" ht="22.5">
      <c r="A95" s="2" t="s">
        <v>26</v>
      </c>
      <c r="B95" s="2" t="s">
        <v>679</v>
      </c>
      <c r="C95" s="2" t="s">
        <v>571</v>
      </c>
      <c r="D95" s="2" t="s">
        <v>480</v>
      </c>
      <c r="E95" s="2" t="s">
        <v>444</v>
      </c>
      <c r="F95" s="2" t="s">
        <v>445</v>
      </c>
      <c r="G95" s="2" t="s">
        <v>925</v>
      </c>
      <c r="H95" s="2" t="s">
        <v>0</v>
      </c>
      <c r="I95" s="2" t="s">
        <v>675</v>
      </c>
      <c r="J95" s="2" t="s">
        <v>0</v>
      </c>
      <c r="K95" s="2" t="s">
        <v>0</v>
      </c>
      <c r="L95" s="2" t="s">
        <v>680</v>
      </c>
      <c r="M95" s="2" t="s">
        <v>27</v>
      </c>
      <c r="N95" s="2" t="s">
        <v>30</v>
      </c>
      <c r="O95" s="2" t="s">
        <v>28</v>
      </c>
      <c r="P95" s="2" t="s">
        <v>29</v>
      </c>
      <c r="Q95" s="2">
        <v>34</v>
      </c>
      <c r="R95" s="2">
        <v>12</v>
      </c>
      <c r="S95" s="2">
        <v>0</v>
      </c>
      <c r="T95" s="2">
        <v>0</v>
      </c>
      <c r="U95" s="2">
        <v>0</v>
      </c>
      <c r="V95" s="2">
        <v>10</v>
      </c>
      <c r="W95" s="2">
        <v>28</v>
      </c>
      <c r="X95" s="2">
        <v>1</v>
      </c>
      <c r="Y95" s="2">
        <v>18</v>
      </c>
      <c r="Z95" s="8" t="s">
        <v>0</v>
      </c>
      <c r="AA95" s="8" t="s">
        <v>0</v>
      </c>
      <c r="AB95" s="8" t="s">
        <v>0</v>
      </c>
      <c r="AC95" s="8" t="s">
        <v>0</v>
      </c>
      <c r="AD95" s="8" t="s">
        <v>0</v>
      </c>
      <c r="AE95" s="8" t="s">
        <v>0</v>
      </c>
      <c r="AF95" s="8" t="s">
        <v>0</v>
      </c>
      <c r="AG95" s="8" t="s">
        <v>0</v>
      </c>
      <c r="AH95" s="8" t="s">
        <v>0</v>
      </c>
      <c r="AI95" s="8" t="s">
        <v>0</v>
      </c>
      <c r="AJ95" s="8" t="s">
        <v>0</v>
      </c>
      <c r="AK95" s="8" t="s">
        <v>0</v>
      </c>
      <c r="AL95" s="8" t="s">
        <v>0</v>
      </c>
      <c r="AM95" s="8" t="s">
        <v>0</v>
      </c>
      <c r="AN95" s="8" t="s">
        <v>0</v>
      </c>
    </row>
    <row r="96" spans="1:40" ht="22.5">
      <c r="A96" s="2" t="s">
        <v>26</v>
      </c>
      <c r="B96" s="2" t="s">
        <v>681</v>
      </c>
      <c r="C96" s="2" t="s">
        <v>545</v>
      </c>
      <c r="D96" s="2" t="s">
        <v>456</v>
      </c>
      <c r="E96" s="2" t="s">
        <v>444</v>
      </c>
      <c r="F96" s="2" t="s">
        <v>445</v>
      </c>
      <c r="G96" s="2" t="s">
        <v>925</v>
      </c>
      <c r="H96" s="2" t="s">
        <v>0</v>
      </c>
      <c r="I96" s="2" t="s">
        <v>675</v>
      </c>
      <c r="J96" s="2" t="s">
        <v>0</v>
      </c>
      <c r="K96" s="2" t="s">
        <v>0</v>
      </c>
      <c r="L96" s="2" t="s">
        <v>682</v>
      </c>
      <c r="M96" s="2" t="s">
        <v>27</v>
      </c>
      <c r="N96" s="2" t="s">
        <v>30</v>
      </c>
      <c r="O96" s="2" t="s">
        <v>28</v>
      </c>
      <c r="P96" s="2" t="s">
        <v>29</v>
      </c>
      <c r="Q96" s="2">
        <v>34</v>
      </c>
      <c r="R96" s="2">
        <v>12</v>
      </c>
      <c r="S96" s="2">
        <v>0</v>
      </c>
      <c r="T96" s="2">
        <v>0</v>
      </c>
      <c r="U96" s="2">
        <v>0</v>
      </c>
      <c r="V96" s="2">
        <v>10</v>
      </c>
      <c r="W96" s="2">
        <v>28</v>
      </c>
      <c r="X96" s="2">
        <v>1</v>
      </c>
      <c r="Y96" s="2">
        <v>18</v>
      </c>
      <c r="Z96" s="8" t="s">
        <v>0</v>
      </c>
      <c r="AA96" s="8" t="s">
        <v>0</v>
      </c>
      <c r="AB96" s="8" t="s">
        <v>0</v>
      </c>
      <c r="AC96" s="8" t="s">
        <v>0</v>
      </c>
      <c r="AD96" s="8" t="s">
        <v>0</v>
      </c>
      <c r="AE96" s="8" t="s">
        <v>0</v>
      </c>
      <c r="AF96" s="8" t="s">
        <v>0</v>
      </c>
      <c r="AG96" s="8" t="s">
        <v>0</v>
      </c>
      <c r="AH96" s="8" t="s">
        <v>0</v>
      </c>
      <c r="AI96" s="8" t="s">
        <v>0</v>
      </c>
      <c r="AJ96" s="8" t="s">
        <v>0</v>
      </c>
      <c r="AK96" s="8" t="s">
        <v>0</v>
      </c>
      <c r="AL96" s="8" t="s">
        <v>0</v>
      </c>
      <c r="AM96" s="8" t="s">
        <v>0</v>
      </c>
      <c r="AN96" s="8" t="s">
        <v>0</v>
      </c>
    </row>
    <row r="97" spans="1:40" ht="22.5">
      <c r="A97" s="2" t="s">
        <v>26</v>
      </c>
      <c r="B97" s="2" t="s">
        <v>683</v>
      </c>
      <c r="C97" s="2" t="s">
        <v>566</v>
      </c>
      <c r="D97" s="2" t="s">
        <v>489</v>
      </c>
      <c r="E97" s="2" t="s">
        <v>444</v>
      </c>
      <c r="F97" s="2" t="s">
        <v>445</v>
      </c>
      <c r="G97" s="2" t="s">
        <v>925</v>
      </c>
      <c r="H97" s="2" t="s">
        <v>0</v>
      </c>
      <c r="I97" s="2" t="s">
        <v>675</v>
      </c>
      <c r="J97" s="2" t="s">
        <v>0</v>
      </c>
      <c r="K97" s="2" t="s">
        <v>0</v>
      </c>
      <c r="L97" s="2" t="s">
        <v>684</v>
      </c>
      <c r="M97" s="2" t="s">
        <v>27</v>
      </c>
      <c r="N97" s="2" t="s">
        <v>30</v>
      </c>
      <c r="O97" s="2" t="s">
        <v>28</v>
      </c>
      <c r="P97" s="2" t="s">
        <v>29</v>
      </c>
      <c r="Q97" s="2">
        <v>34</v>
      </c>
      <c r="R97" s="2">
        <v>12</v>
      </c>
      <c r="S97" s="2">
        <v>0</v>
      </c>
      <c r="T97" s="2">
        <v>0</v>
      </c>
      <c r="U97" s="2">
        <v>0</v>
      </c>
      <c r="V97" s="2">
        <v>10</v>
      </c>
      <c r="W97" s="2">
        <v>28</v>
      </c>
      <c r="X97" s="2">
        <v>1</v>
      </c>
      <c r="Y97" s="2">
        <v>18</v>
      </c>
      <c r="Z97" s="8" t="s">
        <v>0</v>
      </c>
      <c r="AA97" s="8" t="s">
        <v>0</v>
      </c>
      <c r="AB97" s="8" t="s">
        <v>0</v>
      </c>
      <c r="AC97" s="8" t="s">
        <v>0</v>
      </c>
      <c r="AD97" s="8" t="s">
        <v>0</v>
      </c>
      <c r="AE97" s="8" t="s">
        <v>0</v>
      </c>
      <c r="AF97" s="8" t="s">
        <v>0</v>
      </c>
      <c r="AG97" s="8" t="s">
        <v>0</v>
      </c>
      <c r="AH97" s="8" t="s">
        <v>0</v>
      </c>
      <c r="AI97" s="8" t="s">
        <v>0</v>
      </c>
      <c r="AJ97" s="8" t="s">
        <v>0</v>
      </c>
      <c r="AK97" s="8" t="s">
        <v>0</v>
      </c>
      <c r="AL97" s="8" t="s">
        <v>0</v>
      </c>
      <c r="AM97" s="8" t="s">
        <v>0</v>
      </c>
      <c r="AN97" s="8" t="s">
        <v>0</v>
      </c>
    </row>
    <row r="98" spans="1:40" ht="22.5">
      <c r="A98" s="2" t="s">
        <v>26</v>
      </c>
      <c r="B98" s="2" t="s">
        <v>685</v>
      </c>
      <c r="C98" s="2" t="s">
        <v>462</v>
      </c>
      <c r="D98" s="2" t="s">
        <v>489</v>
      </c>
      <c r="E98" s="2" t="s">
        <v>444</v>
      </c>
      <c r="F98" s="2" t="s">
        <v>445</v>
      </c>
      <c r="G98" s="2" t="s">
        <v>925</v>
      </c>
      <c r="H98" s="2" t="s">
        <v>0</v>
      </c>
      <c r="I98" s="2" t="s">
        <v>675</v>
      </c>
      <c r="J98" s="2" t="s">
        <v>0</v>
      </c>
      <c r="K98" s="2" t="s">
        <v>0</v>
      </c>
      <c r="L98" s="2" t="s">
        <v>686</v>
      </c>
      <c r="M98" s="2" t="s">
        <v>27</v>
      </c>
      <c r="N98" s="2" t="s">
        <v>30</v>
      </c>
      <c r="O98" s="2" t="s">
        <v>28</v>
      </c>
      <c r="P98" s="2" t="s">
        <v>29</v>
      </c>
      <c r="Q98" s="2">
        <v>34</v>
      </c>
      <c r="R98" s="2">
        <v>12</v>
      </c>
      <c r="S98" s="2">
        <v>0</v>
      </c>
      <c r="T98" s="2">
        <v>0</v>
      </c>
      <c r="U98" s="2">
        <v>0</v>
      </c>
      <c r="V98" s="2">
        <v>10</v>
      </c>
      <c r="W98" s="2">
        <v>28</v>
      </c>
      <c r="X98" s="2">
        <v>1</v>
      </c>
      <c r="Y98" s="2">
        <v>18</v>
      </c>
      <c r="Z98" s="8" t="s">
        <v>0</v>
      </c>
      <c r="AA98" s="8" t="s">
        <v>0</v>
      </c>
      <c r="AB98" s="8" t="s">
        <v>0</v>
      </c>
      <c r="AC98" s="8" t="s">
        <v>0</v>
      </c>
      <c r="AD98" s="8" t="s">
        <v>0</v>
      </c>
      <c r="AE98" s="8" t="s">
        <v>0</v>
      </c>
      <c r="AF98" s="8" t="s">
        <v>0</v>
      </c>
      <c r="AG98" s="8" t="s">
        <v>0</v>
      </c>
      <c r="AH98" s="8" t="s">
        <v>0</v>
      </c>
      <c r="AI98" s="8" t="s">
        <v>0</v>
      </c>
      <c r="AJ98" s="8" t="s">
        <v>0</v>
      </c>
      <c r="AK98" s="8" t="s">
        <v>0</v>
      </c>
      <c r="AL98" s="8" t="s">
        <v>0</v>
      </c>
      <c r="AM98" s="8" t="s">
        <v>0</v>
      </c>
      <c r="AN98" s="8" t="s">
        <v>0</v>
      </c>
    </row>
    <row r="99" spans="1:40" ht="22.5">
      <c r="A99" s="2" t="s">
        <v>26</v>
      </c>
      <c r="B99" s="2" t="s">
        <v>687</v>
      </c>
      <c r="C99" s="2" t="s">
        <v>545</v>
      </c>
      <c r="D99" s="2" t="s">
        <v>489</v>
      </c>
      <c r="E99" s="2" t="s">
        <v>444</v>
      </c>
      <c r="F99" s="2" t="s">
        <v>445</v>
      </c>
      <c r="G99" s="2" t="s">
        <v>925</v>
      </c>
      <c r="H99" s="2" t="s">
        <v>0</v>
      </c>
      <c r="I99" s="2" t="s">
        <v>675</v>
      </c>
      <c r="J99" s="2" t="s">
        <v>0</v>
      </c>
      <c r="K99" s="2" t="s">
        <v>0</v>
      </c>
      <c r="L99" s="2" t="s">
        <v>688</v>
      </c>
      <c r="M99" s="2" t="s">
        <v>27</v>
      </c>
      <c r="N99" s="2" t="s">
        <v>30</v>
      </c>
      <c r="O99" s="2" t="s">
        <v>28</v>
      </c>
      <c r="P99" s="2" t="s">
        <v>29</v>
      </c>
      <c r="Q99" s="2">
        <v>34</v>
      </c>
      <c r="R99" s="2">
        <v>12</v>
      </c>
      <c r="S99" s="2">
        <v>0</v>
      </c>
      <c r="T99" s="2">
        <v>0</v>
      </c>
      <c r="U99" s="2">
        <v>0</v>
      </c>
      <c r="V99" s="2">
        <v>10</v>
      </c>
      <c r="W99" s="2">
        <v>28</v>
      </c>
      <c r="X99" s="2">
        <v>1</v>
      </c>
      <c r="Y99" s="2">
        <v>18</v>
      </c>
      <c r="Z99" s="8" t="s">
        <v>0</v>
      </c>
      <c r="AA99" s="8" t="s">
        <v>0</v>
      </c>
      <c r="AB99" s="8" t="s">
        <v>0</v>
      </c>
      <c r="AC99" s="8" t="s">
        <v>0</v>
      </c>
      <c r="AD99" s="8" t="s">
        <v>0</v>
      </c>
      <c r="AE99" s="8" t="s">
        <v>0</v>
      </c>
      <c r="AF99" s="8" t="s">
        <v>0</v>
      </c>
      <c r="AG99" s="8" t="s">
        <v>0</v>
      </c>
      <c r="AH99" s="8" t="s">
        <v>0</v>
      </c>
      <c r="AI99" s="8" t="s">
        <v>0</v>
      </c>
      <c r="AJ99" s="8" t="s">
        <v>0</v>
      </c>
      <c r="AK99" s="8" t="s">
        <v>0</v>
      </c>
      <c r="AL99" s="8" t="s">
        <v>0</v>
      </c>
      <c r="AM99" s="8" t="s">
        <v>0</v>
      </c>
      <c r="AN99" s="8" t="s">
        <v>0</v>
      </c>
    </row>
    <row r="100" spans="1:40" ht="22.5">
      <c r="A100" s="2" t="s">
        <v>26</v>
      </c>
      <c r="B100" s="2" t="s">
        <v>689</v>
      </c>
      <c r="C100" s="2" t="s">
        <v>499</v>
      </c>
      <c r="D100" s="2" t="s">
        <v>463</v>
      </c>
      <c r="E100" s="2" t="s">
        <v>444</v>
      </c>
      <c r="F100" s="2" t="s">
        <v>445</v>
      </c>
      <c r="G100" s="2" t="s">
        <v>925</v>
      </c>
      <c r="H100" s="2" t="s">
        <v>0</v>
      </c>
      <c r="I100" s="2" t="s">
        <v>675</v>
      </c>
      <c r="J100" s="2" t="s">
        <v>0</v>
      </c>
      <c r="K100" s="2" t="s">
        <v>0</v>
      </c>
      <c r="L100" s="2" t="s">
        <v>690</v>
      </c>
      <c r="M100" s="2" t="s">
        <v>27</v>
      </c>
      <c r="N100" s="2" t="s">
        <v>30</v>
      </c>
      <c r="O100" s="2" t="s">
        <v>28</v>
      </c>
      <c r="P100" s="2" t="s">
        <v>29</v>
      </c>
      <c r="Q100" s="2">
        <v>34</v>
      </c>
      <c r="R100" s="2">
        <v>12</v>
      </c>
      <c r="S100" s="2">
        <v>0</v>
      </c>
      <c r="T100" s="2">
        <v>0</v>
      </c>
      <c r="U100" s="2">
        <v>0</v>
      </c>
      <c r="V100" s="2">
        <v>10</v>
      </c>
      <c r="W100" s="2">
        <v>28</v>
      </c>
      <c r="X100" s="2">
        <v>1</v>
      </c>
      <c r="Y100" s="2">
        <v>18</v>
      </c>
      <c r="Z100" s="8" t="s">
        <v>0</v>
      </c>
      <c r="AA100" s="8" t="s">
        <v>0</v>
      </c>
      <c r="AB100" s="8" t="s">
        <v>0</v>
      </c>
      <c r="AC100" s="8" t="s">
        <v>0</v>
      </c>
      <c r="AD100" s="8" t="s">
        <v>0</v>
      </c>
      <c r="AE100" s="8" t="s">
        <v>0</v>
      </c>
      <c r="AF100" s="8" t="s">
        <v>0</v>
      </c>
      <c r="AG100" s="8" t="s">
        <v>0</v>
      </c>
      <c r="AH100" s="8" t="s">
        <v>0</v>
      </c>
      <c r="AI100" s="8" t="s">
        <v>0</v>
      </c>
      <c r="AJ100" s="8" t="s">
        <v>0</v>
      </c>
      <c r="AK100" s="8" t="s">
        <v>0</v>
      </c>
      <c r="AL100" s="8" t="s">
        <v>0</v>
      </c>
      <c r="AM100" s="8" t="s">
        <v>0</v>
      </c>
      <c r="AN100" s="8" t="s">
        <v>0</v>
      </c>
    </row>
    <row r="101" spans="1:40" ht="22.5">
      <c r="A101" s="2" t="s">
        <v>26</v>
      </c>
      <c r="B101" s="2" t="s">
        <v>691</v>
      </c>
      <c r="C101" s="2" t="s">
        <v>442</v>
      </c>
      <c r="D101" s="2" t="s">
        <v>496</v>
      </c>
      <c r="E101" s="2" t="s">
        <v>444</v>
      </c>
      <c r="F101" s="2" t="s">
        <v>445</v>
      </c>
      <c r="G101" s="2" t="s">
        <v>925</v>
      </c>
      <c r="H101" s="2" t="s">
        <v>0</v>
      </c>
      <c r="I101" s="2" t="s">
        <v>675</v>
      </c>
      <c r="J101" s="2" t="s">
        <v>0</v>
      </c>
      <c r="K101" s="2" t="s">
        <v>0</v>
      </c>
      <c r="L101" s="2" t="s">
        <v>692</v>
      </c>
      <c r="M101" s="2" t="s">
        <v>27</v>
      </c>
      <c r="N101" s="2" t="s">
        <v>30</v>
      </c>
      <c r="O101" s="2" t="s">
        <v>28</v>
      </c>
      <c r="P101" s="2" t="s">
        <v>29</v>
      </c>
      <c r="Q101" s="2">
        <v>34</v>
      </c>
      <c r="R101" s="2">
        <v>12</v>
      </c>
      <c r="S101" s="2">
        <v>0</v>
      </c>
      <c r="T101" s="2">
        <v>0</v>
      </c>
      <c r="U101" s="2">
        <v>0</v>
      </c>
      <c r="V101" s="2">
        <v>10</v>
      </c>
      <c r="W101" s="2">
        <v>28</v>
      </c>
      <c r="X101" s="2">
        <v>1</v>
      </c>
      <c r="Y101" s="2">
        <v>18</v>
      </c>
      <c r="Z101" s="8" t="s">
        <v>0</v>
      </c>
      <c r="AA101" s="8" t="s">
        <v>0</v>
      </c>
      <c r="AB101" s="8" t="s">
        <v>0</v>
      </c>
      <c r="AC101" s="8" t="s">
        <v>0</v>
      </c>
      <c r="AD101" s="8" t="s">
        <v>0</v>
      </c>
      <c r="AE101" s="8" t="s">
        <v>0</v>
      </c>
      <c r="AF101" s="8" t="s">
        <v>0</v>
      </c>
      <c r="AG101" s="8" t="s">
        <v>0</v>
      </c>
      <c r="AH101" s="8" t="s">
        <v>0</v>
      </c>
      <c r="AI101" s="8" t="s">
        <v>0</v>
      </c>
      <c r="AJ101" s="8" t="s">
        <v>0</v>
      </c>
      <c r="AK101" s="8" t="s">
        <v>0</v>
      </c>
      <c r="AL101" s="8" t="s">
        <v>0</v>
      </c>
      <c r="AM101" s="8" t="s">
        <v>0</v>
      </c>
      <c r="AN101" s="8" t="s">
        <v>0</v>
      </c>
    </row>
    <row r="102" spans="1:40" ht="22.5">
      <c r="A102" s="2" t="s">
        <v>26</v>
      </c>
      <c r="B102" s="2" t="s">
        <v>693</v>
      </c>
      <c r="C102" s="2" t="s">
        <v>459</v>
      </c>
      <c r="D102" s="2" t="s">
        <v>522</v>
      </c>
      <c r="E102" s="2" t="s">
        <v>444</v>
      </c>
      <c r="F102" s="2" t="s">
        <v>445</v>
      </c>
      <c r="G102" s="2" t="s">
        <v>925</v>
      </c>
      <c r="H102" s="2" t="s">
        <v>0</v>
      </c>
      <c r="I102" s="2" t="s">
        <v>675</v>
      </c>
      <c r="J102" s="2" t="s">
        <v>0</v>
      </c>
      <c r="K102" s="2" t="s">
        <v>0</v>
      </c>
      <c r="L102" s="2" t="s">
        <v>694</v>
      </c>
      <c r="M102" s="2" t="s">
        <v>27</v>
      </c>
      <c r="N102" s="2" t="s">
        <v>30</v>
      </c>
      <c r="O102" s="2" t="s">
        <v>28</v>
      </c>
      <c r="P102" s="2" t="s">
        <v>29</v>
      </c>
      <c r="Q102" s="2">
        <v>34</v>
      </c>
      <c r="R102" s="2">
        <v>12</v>
      </c>
      <c r="S102" s="2">
        <v>0</v>
      </c>
      <c r="T102" s="2">
        <v>0</v>
      </c>
      <c r="U102" s="2">
        <v>0</v>
      </c>
      <c r="V102" s="2">
        <v>10</v>
      </c>
      <c r="W102" s="2">
        <v>28</v>
      </c>
      <c r="X102" s="2">
        <v>1</v>
      </c>
      <c r="Y102" s="2">
        <v>18</v>
      </c>
      <c r="Z102" s="8" t="s">
        <v>0</v>
      </c>
      <c r="AA102" s="8" t="s">
        <v>0</v>
      </c>
      <c r="AB102" s="8" t="s">
        <v>0</v>
      </c>
      <c r="AC102" s="8" t="s">
        <v>0</v>
      </c>
      <c r="AD102" s="8" t="s">
        <v>0</v>
      </c>
      <c r="AE102" s="8" t="s">
        <v>0</v>
      </c>
      <c r="AF102" s="8" t="s">
        <v>0</v>
      </c>
      <c r="AG102" s="8" t="s">
        <v>0</v>
      </c>
      <c r="AH102" s="8" t="s">
        <v>0</v>
      </c>
      <c r="AI102" s="8" t="s">
        <v>0</v>
      </c>
      <c r="AJ102" s="8" t="s">
        <v>0</v>
      </c>
      <c r="AK102" s="8" t="s">
        <v>0</v>
      </c>
      <c r="AL102" s="8" t="s">
        <v>0</v>
      </c>
      <c r="AM102" s="8" t="s">
        <v>0</v>
      </c>
      <c r="AN102" s="8" t="s">
        <v>0</v>
      </c>
    </row>
    <row r="103" spans="1:40" ht="22.5">
      <c r="A103" s="2" t="s">
        <v>26</v>
      </c>
      <c r="B103" s="2" t="s">
        <v>695</v>
      </c>
      <c r="C103" s="2" t="s">
        <v>545</v>
      </c>
      <c r="D103" s="2" t="s">
        <v>467</v>
      </c>
      <c r="E103" s="2" t="s">
        <v>444</v>
      </c>
      <c r="F103" s="2" t="s">
        <v>445</v>
      </c>
      <c r="G103" s="2" t="s">
        <v>925</v>
      </c>
      <c r="H103" s="2" t="s">
        <v>0</v>
      </c>
      <c r="I103" s="2" t="s">
        <v>675</v>
      </c>
      <c r="J103" s="2" t="s">
        <v>0</v>
      </c>
      <c r="K103" s="2" t="s">
        <v>0</v>
      </c>
      <c r="L103" s="2" t="s">
        <v>696</v>
      </c>
      <c r="M103" s="2" t="s">
        <v>27</v>
      </c>
      <c r="N103" s="2" t="s">
        <v>30</v>
      </c>
      <c r="O103" s="2" t="s">
        <v>28</v>
      </c>
      <c r="P103" s="2" t="s">
        <v>29</v>
      </c>
      <c r="Q103" s="2">
        <v>34</v>
      </c>
      <c r="R103" s="2">
        <v>12</v>
      </c>
      <c r="S103" s="2">
        <v>0</v>
      </c>
      <c r="T103" s="2">
        <v>0</v>
      </c>
      <c r="U103" s="2">
        <v>0</v>
      </c>
      <c r="V103" s="2">
        <v>10</v>
      </c>
      <c r="W103" s="2">
        <v>28</v>
      </c>
      <c r="X103" s="2">
        <v>1</v>
      </c>
      <c r="Y103" s="2">
        <v>18</v>
      </c>
      <c r="Z103" s="8" t="s">
        <v>0</v>
      </c>
      <c r="AA103" s="8" t="s">
        <v>0</v>
      </c>
      <c r="AB103" s="8" t="s">
        <v>0</v>
      </c>
      <c r="AC103" s="8" t="s">
        <v>0</v>
      </c>
      <c r="AD103" s="8" t="s">
        <v>0</v>
      </c>
      <c r="AE103" s="8" t="s">
        <v>0</v>
      </c>
      <c r="AF103" s="8" t="s">
        <v>0</v>
      </c>
      <c r="AG103" s="8" t="s">
        <v>0</v>
      </c>
      <c r="AH103" s="8" t="s">
        <v>0</v>
      </c>
      <c r="AI103" s="8" t="s">
        <v>0</v>
      </c>
      <c r="AJ103" s="8" t="s">
        <v>0</v>
      </c>
      <c r="AK103" s="8" t="s">
        <v>0</v>
      </c>
      <c r="AL103" s="8" t="s">
        <v>0</v>
      </c>
      <c r="AM103" s="8" t="s">
        <v>0</v>
      </c>
      <c r="AN103" s="8" t="s">
        <v>0</v>
      </c>
    </row>
    <row r="104" spans="1:40" ht="22.5">
      <c r="A104" s="2" t="s">
        <v>26</v>
      </c>
      <c r="B104" s="2" t="s">
        <v>697</v>
      </c>
      <c r="C104" s="2" t="s">
        <v>499</v>
      </c>
      <c r="D104" s="2" t="s">
        <v>470</v>
      </c>
      <c r="E104" s="2" t="s">
        <v>444</v>
      </c>
      <c r="F104" s="2" t="s">
        <v>445</v>
      </c>
      <c r="G104" s="2" t="s">
        <v>925</v>
      </c>
      <c r="H104" s="2" t="s">
        <v>0</v>
      </c>
      <c r="I104" s="2" t="s">
        <v>675</v>
      </c>
      <c r="J104" s="2" t="s">
        <v>0</v>
      </c>
      <c r="K104" s="2" t="s">
        <v>0</v>
      </c>
      <c r="L104" s="2" t="s">
        <v>698</v>
      </c>
      <c r="M104" s="2" t="s">
        <v>27</v>
      </c>
      <c r="N104" s="2" t="s">
        <v>30</v>
      </c>
      <c r="O104" s="2" t="s">
        <v>28</v>
      </c>
      <c r="P104" s="2" t="s">
        <v>29</v>
      </c>
      <c r="Q104" s="2">
        <v>34</v>
      </c>
      <c r="R104" s="2">
        <v>12</v>
      </c>
      <c r="S104" s="2">
        <v>0</v>
      </c>
      <c r="T104" s="2">
        <v>0</v>
      </c>
      <c r="U104" s="2">
        <v>0</v>
      </c>
      <c r="V104" s="2">
        <v>10</v>
      </c>
      <c r="W104" s="2">
        <v>28</v>
      </c>
      <c r="X104" s="2">
        <v>1</v>
      </c>
      <c r="Y104" s="2">
        <v>18</v>
      </c>
      <c r="Z104" s="8" t="s">
        <v>0</v>
      </c>
      <c r="AA104" s="8" t="s">
        <v>0</v>
      </c>
      <c r="AB104" s="8" t="s">
        <v>0</v>
      </c>
      <c r="AC104" s="8" t="s">
        <v>0</v>
      </c>
      <c r="AD104" s="8" t="s">
        <v>0</v>
      </c>
      <c r="AE104" s="8" t="s">
        <v>0</v>
      </c>
      <c r="AF104" s="8" t="s">
        <v>0</v>
      </c>
      <c r="AG104" s="8" t="s">
        <v>0</v>
      </c>
      <c r="AH104" s="8" t="s">
        <v>0</v>
      </c>
      <c r="AI104" s="8" t="s">
        <v>0</v>
      </c>
      <c r="AJ104" s="8" t="s">
        <v>0</v>
      </c>
      <c r="AK104" s="8" t="s">
        <v>0</v>
      </c>
      <c r="AL104" s="8" t="s">
        <v>0</v>
      </c>
      <c r="AM104" s="8" t="s">
        <v>0</v>
      </c>
      <c r="AN104" s="8" t="s">
        <v>0</v>
      </c>
    </row>
    <row r="105" spans="1:40" ht="22.5">
      <c r="A105" s="2" t="s">
        <v>26</v>
      </c>
      <c r="B105" s="2" t="s">
        <v>699</v>
      </c>
      <c r="C105" s="2" t="s">
        <v>459</v>
      </c>
      <c r="D105" s="2" t="s">
        <v>474</v>
      </c>
      <c r="E105" s="2" t="s">
        <v>444</v>
      </c>
      <c r="F105" s="2" t="s">
        <v>445</v>
      </c>
      <c r="G105" s="2" t="s">
        <v>925</v>
      </c>
      <c r="H105" s="2" t="s">
        <v>0</v>
      </c>
      <c r="I105" s="2" t="s">
        <v>675</v>
      </c>
      <c r="J105" s="2" t="s">
        <v>0</v>
      </c>
      <c r="K105" s="2" t="s">
        <v>0</v>
      </c>
      <c r="L105" s="2" t="s">
        <v>700</v>
      </c>
      <c r="M105" s="2" t="s">
        <v>27</v>
      </c>
      <c r="N105" s="2" t="s">
        <v>30</v>
      </c>
      <c r="O105" s="2" t="s">
        <v>28</v>
      </c>
      <c r="P105" s="2" t="s">
        <v>29</v>
      </c>
      <c r="Q105" s="2">
        <v>34</v>
      </c>
      <c r="R105" s="2">
        <v>12</v>
      </c>
      <c r="S105" s="2">
        <v>0</v>
      </c>
      <c r="T105" s="2">
        <v>0</v>
      </c>
      <c r="U105" s="2">
        <v>0</v>
      </c>
      <c r="V105" s="2">
        <v>10</v>
      </c>
      <c r="W105" s="2">
        <v>28</v>
      </c>
      <c r="X105" s="2">
        <v>1</v>
      </c>
      <c r="Y105" s="2">
        <v>18</v>
      </c>
      <c r="Z105" s="8" t="s">
        <v>0</v>
      </c>
      <c r="AA105" s="8" t="s">
        <v>0</v>
      </c>
      <c r="AB105" s="8" t="s">
        <v>0</v>
      </c>
      <c r="AC105" s="8" t="s">
        <v>0</v>
      </c>
      <c r="AD105" s="8" t="s">
        <v>0</v>
      </c>
      <c r="AE105" s="8" t="s">
        <v>0</v>
      </c>
      <c r="AF105" s="8" t="s">
        <v>0</v>
      </c>
      <c r="AG105" s="8" t="s">
        <v>0</v>
      </c>
      <c r="AH105" s="8" t="s">
        <v>0</v>
      </c>
      <c r="AI105" s="8" t="s">
        <v>0</v>
      </c>
      <c r="AJ105" s="8" t="s">
        <v>0</v>
      </c>
      <c r="AK105" s="8" t="s">
        <v>0</v>
      </c>
      <c r="AL105" s="8" t="s">
        <v>0</v>
      </c>
      <c r="AM105" s="8" t="s">
        <v>0</v>
      </c>
      <c r="AN105" s="8" t="s">
        <v>0</v>
      </c>
    </row>
    <row r="106" spans="1:40">
      <c r="A106" s="4" t="s">
        <v>701</v>
      </c>
      <c r="B106" s="5" t="s">
        <v>0</v>
      </c>
      <c r="C106" s="5" t="s">
        <v>0</v>
      </c>
      <c r="D106" s="5" t="s">
        <v>0</v>
      </c>
      <c r="E106" s="5" t="s">
        <v>0</v>
      </c>
      <c r="F106" s="5" t="s">
        <v>0</v>
      </c>
      <c r="G106" s="5" t="s">
        <v>0</v>
      </c>
      <c r="H106" s="5" t="s">
        <v>0</v>
      </c>
      <c r="I106" s="5" t="s">
        <v>0</v>
      </c>
      <c r="J106" s="5" t="s">
        <v>0</v>
      </c>
      <c r="K106" s="5" t="s">
        <v>0</v>
      </c>
      <c r="L106" s="5" t="s">
        <v>0</v>
      </c>
      <c r="M106" s="5" t="s">
        <v>0</v>
      </c>
      <c r="N106" s="5" t="s">
        <v>0</v>
      </c>
      <c r="O106" s="5" t="s">
        <v>0</v>
      </c>
      <c r="P106" s="5" t="s">
        <v>0</v>
      </c>
      <c r="Q106" s="5" t="s">
        <v>0</v>
      </c>
      <c r="R106" s="5" t="s">
        <v>0</v>
      </c>
      <c r="S106" s="5" t="s">
        <v>0</v>
      </c>
      <c r="T106" s="5" t="s">
        <v>0</v>
      </c>
      <c r="U106" s="5" t="s">
        <v>0</v>
      </c>
      <c r="V106" s="5" t="s">
        <v>0</v>
      </c>
      <c r="W106" s="5" t="s">
        <v>0</v>
      </c>
      <c r="X106" s="5" t="s">
        <v>0</v>
      </c>
      <c r="Y106" s="5" t="s">
        <v>0</v>
      </c>
      <c r="Z106" s="5" t="s">
        <v>0</v>
      </c>
      <c r="AA106" s="5" t="s">
        <v>0</v>
      </c>
      <c r="AB106" s="5" t="s">
        <v>0</v>
      </c>
      <c r="AC106" s="5" t="s">
        <v>0</v>
      </c>
      <c r="AD106" s="5" t="s">
        <v>0</v>
      </c>
      <c r="AE106" s="5" t="s">
        <v>0</v>
      </c>
      <c r="AF106" s="5" t="s">
        <v>0</v>
      </c>
      <c r="AG106" s="5" t="s">
        <v>0</v>
      </c>
      <c r="AH106" s="5" t="s">
        <v>0</v>
      </c>
      <c r="AI106" s="5" t="s">
        <v>0</v>
      </c>
      <c r="AJ106" s="5" t="s">
        <v>0</v>
      </c>
      <c r="AK106" s="5" t="s">
        <v>0</v>
      </c>
      <c r="AL106" s="5" t="s">
        <v>0</v>
      </c>
      <c r="AM106" s="5" t="s">
        <v>0</v>
      </c>
      <c r="AN106" s="5" t="s">
        <v>0</v>
      </c>
    </row>
  </sheetData>
  <pageMargins left="0.25" right="0.25" top="0.25" bottom="0.25" header="0.3" footer="0.3"/>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H133"/>
  <sheetViews>
    <sheetView workbookViewId="0">
      <pane xSplit="5" ySplit="1" topLeftCell="F2" activePane="bottomRight" state="frozen"/>
      <selection pane="topRight"/>
      <selection pane="bottomLeft"/>
      <selection pane="bottomRight"/>
    </sheetView>
  </sheetViews>
  <sheetFormatPr baseColWidth="10" defaultColWidth="9.140625" defaultRowHeight="15"/>
  <cols>
    <col min="1" max="2" width="14.140625" customWidth="1"/>
    <col min="3" max="3" width="21.28515625" customWidth="1"/>
    <col min="4" max="4" width="14.140625" customWidth="1"/>
    <col min="5" max="5" width="21.28515625" customWidth="1"/>
    <col min="6" max="34" width="53.140625" customWidth="1"/>
  </cols>
  <sheetData>
    <row r="1" spans="1:34">
      <c r="A1" s="1" t="s">
        <v>1</v>
      </c>
      <c r="B1" s="1" t="s">
        <v>702</v>
      </c>
      <c r="C1" s="1" t="s">
        <v>703</v>
      </c>
      <c r="D1" s="1" t="s">
        <v>704</v>
      </c>
      <c r="E1" s="1" t="s">
        <v>705</v>
      </c>
      <c r="F1" s="1" t="s">
        <v>706</v>
      </c>
      <c r="G1" s="1" t="s">
        <v>707</v>
      </c>
      <c r="H1" s="1" t="s">
        <v>708</v>
      </c>
      <c r="I1" s="1" t="s">
        <v>709</v>
      </c>
      <c r="J1" s="1" t="s">
        <v>710</v>
      </c>
      <c r="K1" s="1" t="s">
        <v>711</v>
      </c>
      <c r="L1" s="1" t="s">
        <v>2</v>
      </c>
      <c r="M1" s="1" t="s">
        <v>5</v>
      </c>
      <c r="N1" s="1" t="s">
        <v>4</v>
      </c>
      <c r="O1" s="1" t="s">
        <v>712</v>
      </c>
      <c r="P1" s="1" t="s">
        <v>713</v>
      </c>
      <c r="Q1" s="1" t="s">
        <v>714</v>
      </c>
      <c r="R1" s="1" t="s">
        <v>715</v>
      </c>
      <c r="S1" s="1" t="s">
        <v>716</v>
      </c>
      <c r="T1" s="1" t="s">
        <v>717</v>
      </c>
      <c r="U1" s="1" t="s">
        <v>425</v>
      </c>
      <c r="V1" s="1" t="s">
        <v>718</v>
      </c>
      <c r="W1" s="1" t="s">
        <v>719</v>
      </c>
      <c r="X1" s="7" t="s">
        <v>0</v>
      </c>
      <c r="Y1" s="7" t="s">
        <v>0</v>
      </c>
      <c r="Z1" s="7" t="s">
        <v>0</v>
      </c>
      <c r="AA1" s="7" t="s">
        <v>0</v>
      </c>
      <c r="AB1" s="7" t="s">
        <v>0</v>
      </c>
      <c r="AC1" s="7" t="s">
        <v>0</v>
      </c>
      <c r="AD1" s="7" t="s">
        <v>0</v>
      </c>
      <c r="AE1" s="7" t="s">
        <v>0</v>
      </c>
      <c r="AF1" s="7" t="s">
        <v>0</v>
      </c>
      <c r="AG1" s="7" t="s">
        <v>0</v>
      </c>
      <c r="AH1" s="7" t="s">
        <v>0</v>
      </c>
    </row>
    <row r="2" spans="1:34" ht="33.75">
      <c r="A2" s="2" t="s">
        <v>121</v>
      </c>
      <c r="B2" s="2">
        <v>4</v>
      </c>
      <c r="C2" s="2" t="s">
        <v>894</v>
      </c>
      <c r="D2" s="2" t="s">
        <v>730</v>
      </c>
      <c r="E2" s="2" t="s">
        <v>95</v>
      </c>
      <c r="F2" s="2" t="s">
        <v>94</v>
      </c>
      <c r="G2" s="2" t="s">
        <v>0</v>
      </c>
      <c r="H2" s="2" t="s">
        <v>770</v>
      </c>
      <c r="I2" s="2" t="s">
        <v>732</v>
      </c>
      <c r="J2" s="2" t="s">
        <v>771</v>
      </c>
      <c r="K2" s="2" t="s">
        <v>772</v>
      </c>
      <c r="L2" s="2" t="s">
        <v>27</v>
      </c>
      <c r="M2" s="2" t="s">
        <v>30</v>
      </c>
      <c r="N2" s="2" t="s">
        <v>29</v>
      </c>
      <c r="O2" s="2" t="s">
        <v>96</v>
      </c>
      <c r="P2" s="2" t="s">
        <v>97</v>
      </c>
      <c r="Q2" s="2" t="s">
        <v>741</v>
      </c>
      <c r="R2" s="2" t="s">
        <v>742</v>
      </c>
      <c r="S2" s="2" t="s">
        <v>0</v>
      </c>
      <c r="T2" s="2" t="s">
        <v>0</v>
      </c>
      <c r="U2" s="2" t="s">
        <v>0</v>
      </c>
      <c r="V2" s="2" t="s">
        <v>0</v>
      </c>
      <c r="W2" s="2" t="s">
        <v>0</v>
      </c>
      <c r="X2" s="8" t="s">
        <v>0</v>
      </c>
      <c r="Y2" s="8" t="s">
        <v>0</v>
      </c>
      <c r="Z2" s="8" t="s">
        <v>0</v>
      </c>
      <c r="AA2" s="8" t="s">
        <v>0</v>
      </c>
      <c r="AB2" s="8" t="s">
        <v>0</v>
      </c>
      <c r="AC2" s="8" t="s">
        <v>0</v>
      </c>
      <c r="AD2" s="8" t="s">
        <v>0</v>
      </c>
      <c r="AE2" s="8" t="s">
        <v>0</v>
      </c>
      <c r="AF2" s="8" t="s">
        <v>0</v>
      </c>
      <c r="AG2" s="8" t="s">
        <v>0</v>
      </c>
      <c r="AH2" s="8" t="s">
        <v>0</v>
      </c>
    </row>
    <row r="3" spans="1:34" ht="33.75">
      <c r="A3" s="2" t="s">
        <v>121</v>
      </c>
      <c r="B3" s="2">
        <v>4</v>
      </c>
      <c r="C3" s="2" t="s">
        <v>894</v>
      </c>
      <c r="D3" s="2" t="s">
        <v>730</v>
      </c>
      <c r="E3" s="2" t="s">
        <v>228</v>
      </c>
      <c r="F3" s="2" t="s">
        <v>227</v>
      </c>
      <c r="G3" s="2" t="s">
        <v>0</v>
      </c>
      <c r="H3" s="2" t="s">
        <v>770</v>
      </c>
      <c r="I3" s="2" t="s">
        <v>732</v>
      </c>
      <c r="J3" s="2" t="s">
        <v>771</v>
      </c>
      <c r="K3" s="2" t="s">
        <v>772</v>
      </c>
      <c r="L3" s="2" t="s">
        <v>27</v>
      </c>
      <c r="M3" s="2" t="s">
        <v>30</v>
      </c>
      <c r="N3" s="2" t="s">
        <v>29</v>
      </c>
      <c r="O3" s="2" t="s">
        <v>229</v>
      </c>
      <c r="P3" s="2" t="s">
        <v>97</v>
      </c>
      <c r="Q3" s="2" t="s">
        <v>761</v>
      </c>
      <c r="R3" s="2" t="s">
        <v>762</v>
      </c>
      <c r="S3" s="2" t="s">
        <v>0</v>
      </c>
      <c r="T3" s="2" t="s">
        <v>0</v>
      </c>
      <c r="U3" s="2" t="s">
        <v>0</v>
      </c>
      <c r="V3" s="2" t="s">
        <v>0</v>
      </c>
      <c r="W3" s="2" t="s">
        <v>0</v>
      </c>
      <c r="X3" s="8" t="s">
        <v>0</v>
      </c>
      <c r="Y3" s="8" t="s">
        <v>0</v>
      </c>
      <c r="Z3" s="8" t="s">
        <v>0</v>
      </c>
      <c r="AA3" s="8" t="s">
        <v>0</v>
      </c>
      <c r="AB3" s="8" t="s">
        <v>0</v>
      </c>
      <c r="AC3" s="8" t="s">
        <v>0</v>
      </c>
      <c r="AD3" s="8" t="s">
        <v>0</v>
      </c>
      <c r="AE3" s="8" t="s">
        <v>0</v>
      </c>
      <c r="AF3" s="8" t="s">
        <v>0</v>
      </c>
      <c r="AG3" s="8" t="s">
        <v>0</v>
      </c>
      <c r="AH3" s="8" t="s">
        <v>0</v>
      </c>
    </row>
    <row r="4" spans="1:34" ht="33.75">
      <c r="A4" s="2" t="s">
        <v>121</v>
      </c>
      <c r="B4" s="2">
        <v>4</v>
      </c>
      <c r="C4" s="2" t="s">
        <v>894</v>
      </c>
      <c r="D4" s="2" t="s">
        <v>730</v>
      </c>
      <c r="E4" s="2" t="s">
        <v>267</v>
      </c>
      <c r="F4" s="2" t="s">
        <v>266</v>
      </c>
      <c r="G4" s="2" t="s">
        <v>0</v>
      </c>
      <c r="H4" s="2" t="s">
        <v>770</v>
      </c>
      <c r="I4" s="2" t="s">
        <v>732</v>
      </c>
      <c r="J4" s="2" t="s">
        <v>771</v>
      </c>
      <c r="K4" s="2" t="s">
        <v>772</v>
      </c>
      <c r="L4" s="2" t="s">
        <v>27</v>
      </c>
      <c r="M4" s="2" t="s">
        <v>30</v>
      </c>
      <c r="N4" s="2" t="s">
        <v>29</v>
      </c>
      <c r="O4" s="2" t="s">
        <v>268</v>
      </c>
      <c r="P4" s="2" t="s">
        <v>97</v>
      </c>
      <c r="Q4" s="2" t="s">
        <v>773</v>
      </c>
      <c r="R4" s="2" t="s">
        <v>774</v>
      </c>
      <c r="S4" s="2" t="s">
        <v>0</v>
      </c>
      <c r="T4" s="2" t="s">
        <v>0</v>
      </c>
      <c r="U4" s="2" t="s">
        <v>0</v>
      </c>
      <c r="V4" s="2" t="s">
        <v>0</v>
      </c>
      <c r="W4" s="2" t="s">
        <v>0</v>
      </c>
      <c r="X4" s="8" t="s">
        <v>0</v>
      </c>
      <c r="Y4" s="8" t="s">
        <v>0</v>
      </c>
      <c r="Z4" s="8" t="s">
        <v>0</v>
      </c>
      <c r="AA4" s="8" t="s">
        <v>0</v>
      </c>
      <c r="AB4" s="8" t="s">
        <v>0</v>
      </c>
      <c r="AC4" s="8" t="s">
        <v>0</v>
      </c>
      <c r="AD4" s="8" t="s">
        <v>0</v>
      </c>
      <c r="AE4" s="8" t="s">
        <v>0</v>
      </c>
      <c r="AF4" s="8" t="s">
        <v>0</v>
      </c>
      <c r="AG4" s="8" t="s">
        <v>0</v>
      </c>
      <c r="AH4" s="8" t="s">
        <v>0</v>
      </c>
    </row>
    <row r="5" spans="1:34" ht="33.75">
      <c r="A5" s="2" t="s">
        <v>121</v>
      </c>
      <c r="B5" s="2">
        <v>4</v>
      </c>
      <c r="C5" s="2" t="s">
        <v>894</v>
      </c>
      <c r="D5" s="2" t="s">
        <v>730</v>
      </c>
      <c r="E5" s="2" t="s">
        <v>293</v>
      </c>
      <c r="F5" s="2" t="s">
        <v>292</v>
      </c>
      <c r="G5" s="2" t="s">
        <v>0</v>
      </c>
      <c r="H5" s="2" t="s">
        <v>770</v>
      </c>
      <c r="I5" s="2" t="s">
        <v>732</v>
      </c>
      <c r="J5" s="2" t="s">
        <v>771</v>
      </c>
      <c r="K5" s="2" t="s">
        <v>772</v>
      </c>
      <c r="L5" s="2" t="s">
        <v>27</v>
      </c>
      <c r="M5" s="2" t="s">
        <v>30</v>
      </c>
      <c r="N5" s="2" t="s">
        <v>29</v>
      </c>
      <c r="O5" s="2" t="s">
        <v>294</v>
      </c>
      <c r="P5" s="2" t="s">
        <v>97</v>
      </c>
      <c r="Q5" s="2" t="s">
        <v>775</v>
      </c>
      <c r="R5" s="2" t="s">
        <v>776</v>
      </c>
      <c r="S5" s="2" t="s">
        <v>0</v>
      </c>
      <c r="T5" s="2" t="s">
        <v>0</v>
      </c>
      <c r="U5" s="2" t="s">
        <v>0</v>
      </c>
      <c r="V5" s="2" t="s">
        <v>0</v>
      </c>
      <c r="W5" s="2" t="s">
        <v>0</v>
      </c>
      <c r="X5" s="8" t="s">
        <v>0</v>
      </c>
      <c r="Y5" s="8" t="s">
        <v>0</v>
      </c>
      <c r="Z5" s="8" t="s">
        <v>0</v>
      </c>
      <c r="AA5" s="8" t="s">
        <v>0</v>
      </c>
      <c r="AB5" s="8" t="s">
        <v>0</v>
      </c>
      <c r="AC5" s="8" t="s">
        <v>0</v>
      </c>
      <c r="AD5" s="8" t="s">
        <v>0</v>
      </c>
      <c r="AE5" s="8" t="s">
        <v>0</v>
      </c>
      <c r="AF5" s="8" t="s">
        <v>0</v>
      </c>
      <c r="AG5" s="8" t="s">
        <v>0</v>
      </c>
      <c r="AH5" s="8" t="s">
        <v>0</v>
      </c>
    </row>
    <row r="6" spans="1:34" ht="33.75">
      <c r="A6" s="2" t="s">
        <v>121</v>
      </c>
      <c r="B6" s="2">
        <v>4</v>
      </c>
      <c r="C6" s="2" t="s">
        <v>894</v>
      </c>
      <c r="D6" s="2" t="s">
        <v>730</v>
      </c>
      <c r="E6" s="2" t="s">
        <v>306</v>
      </c>
      <c r="F6" s="2" t="s">
        <v>305</v>
      </c>
      <c r="G6" s="2" t="s">
        <v>0</v>
      </c>
      <c r="H6" s="2" t="s">
        <v>770</v>
      </c>
      <c r="I6" s="2" t="s">
        <v>732</v>
      </c>
      <c r="J6" s="2" t="s">
        <v>771</v>
      </c>
      <c r="K6" s="2" t="s">
        <v>772</v>
      </c>
      <c r="L6" s="2" t="s">
        <v>27</v>
      </c>
      <c r="M6" s="2" t="s">
        <v>30</v>
      </c>
      <c r="N6" s="2" t="s">
        <v>29</v>
      </c>
      <c r="O6" s="2" t="s">
        <v>307</v>
      </c>
      <c r="P6" s="2" t="s">
        <v>97</v>
      </c>
      <c r="Q6" s="2" t="s">
        <v>777</v>
      </c>
      <c r="R6" s="2" t="s">
        <v>778</v>
      </c>
      <c r="S6" s="2" t="s">
        <v>0</v>
      </c>
      <c r="T6" s="2" t="s">
        <v>0</v>
      </c>
      <c r="U6" s="2" t="s">
        <v>0</v>
      </c>
      <c r="V6" s="2" t="s">
        <v>0</v>
      </c>
      <c r="W6" s="2" t="s">
        <v>0</v>
      </c>
      <c r="X6" s="8" t="s">
        <v>0</v>
      </c>
      <c r="Y6" s="8" t="s">
        <v>0</v>
      </c>
      <c r="Z6" s="8" t="s">
        <v>0</v>
      </c>
      <c r="AA6" s="8" t="s">
        <v>0</v>
      </c>
      <c r="AB6" s="8" t="s">
        <v>0</v>
      </c>
      <c r="AC6" s="8" t="s">
        <v>0</v>
      </c>
      <c r="AD6" s="8" t="s">
        <v>0</v>
      </c>
      <c r="AE6" s="8" t="s">
        <v>0</v>
      </c>
      <c r="AF6" s="8" t="s">
        <v>0</v>
      </c>
      <c r="AG6" s="8" t="s">
        <v>0</v>
      </c>
      <c r="AH6" s="8" t="s">
        <v>0</v>
      </c>
    </row>
    <row r="7" spans="1:34" ht="33.75">
      <c r="A7" s="2" t="s">
        <v>121</v>
      </c>
      <c r="B7" s="2">
        <v>4</v>
      </c>
      <c r="C7" s="2" t="s">
        <v>900</v>
      </c>
      <c r="D7" s="2" t="s">
        <v>730</v>
      </c>
      <c r="E7" s="2" t="s">
        <v>247</v>
      </c>
      <c r="F7" s="2" t="s">
        <v>246</v>
      </c>
      <c r="G7" s="2" t="s">
        <v>0</v>
      </c>
      <c r="H7" s="2" t="s">
        <v>824</v>
      </c>
      <c r="I7" s="2" t="s">
        <v>732</v>
      </c>
      <c r="J7" s="2" t="s">
        <v>825</v>
      </c>
      <c r="K7" s="2" t="s">
        <v>768</v>
      </c>
      <c r="L7" s="2" t="s">
        <v>27</v>
      </c>
      <c r="M7" s="2" t="s">
        <v>30</v>
      </c>
      <c r="N7" s="2" t="s">
        <v>29</v>
      </c>
      <c r="O7" s="2" t="s">
        <v>31</v>
      </c>
      <c r="P7" s="2" t="s">
        <v>97</v>
      </c>
      <c r="Q7" s="2" t="s">
        <v>735</v>
      </c>
      <c r="R7" s="2" t="s">
        <v>736</v>
      </c>
      <c r="S7" s="2" t="s">
        <v>0</v>
      </c>
      <c r="T7" s="2" t="s">
        <v>0</v>
      </c>
      <c r="U7" s="2" t="s">
        <v>0</v>
      </c>
      <c r="V7" s="2" t="s">
        <v>0</v>
      </c>
      <c r="W7" s="2" t="s">
        <v>0</v>
      </c>
      <c r="X7" s="8" t="s">
        <v>0</v>
      </c>
      <c r="Y7" s="8" t="s">
        <v>0</v>
      </c>
      <c r="Z7" s="8" t="s">
        <v>0</v>
      </c>
      <c r="AA7" s="8" t="s">
        <v>0</v>
      </c>
      <c r="AB7" s="8" t="s">
        <v>0</v>
      </c>
      <c r="AC7" s="8" t="s">
        <v>0</v>
      </c>
      <c r="AD7" s="8" t="s">
        <v>0</v>
      </c>
      <c r="AE7" s="8" t="s">
        <v>0</v>
      </c>
      <c r="AF7" s="8" t="s">
        <v>0</v>
      </c>
      <c r="AG7" s="8" t="s">
        <v>0</v>
      </c>
      <c r="AH7" s="8" t="s">
        <v>0</v>
      </c>
    </row>
    <row r="8" spans="1:34" ht="33.75">
      <c r="A8" s="2" t="s">
        <v>121</v>
      </c>
      <c r="B8" s="2">
        <v>4</v>
      </c>
      <c r="C8" s="2" t="s">
        <v>901</v>
      </c>
      <c r="D8" s="2" t="s">
        <v>730</v>
      </c>
      <c r="E8" s="2" t="s">
        <v>247</v>
      </c>
      <c r="F8" s="2" t="s">
        <v>246</v>
      </c>
      <c r="G8" s="2" t="s">
        <v>0</v>
      </c>
      <c r="H8" s="2" t="s">
        <v>766</v>
      </c>
      <c r="I8" s="2" t="s">
        <v>732</v>
      </c>
      <c r="J8" s="2" t="s">
        <v>767</v>
      </c>
      <c r="K8" s="2" t="s">
        <v>768</v>
      </c>
      <c r="L8" s="2" t="s">
        <v>27</v>
      </c>
      <c r="M8" s="2" t="s">
        <v>30</v>
      </c>
      <c r="N8" s="2" t="s">
        <v>29</v>
      </c>
      <c r="O8" s="2" t="s">
        <v>31</v>
      </c>
      <c r="P8" s="2" t="s">
        <v>97</v>
      </c>
      <c r="Q8" s="2" t="s">
        <v>735</v>
      </c>
      <c r="R8" s="2" t="s">
        <v>736</v>
      </c>
      <c r="S8" s="2" t="s">
        <v>0</v>
      </c>
      <c r="T8" s="2" t="s">
        <v>0</v>
      </c>
      <c r="U8" s="2" t="s">
        <v>0</v>
      </c>
      <c r="V8" s="2" t="s">
        <v>0</v>
      </c>
      <c r="W8" s="2" t="s">
        <v>0</v>
      </c>
      <c r="X8" s="8" t="s">
        <v>0</v>
      </c>
      <c r="Y8" s="8" t="s">
        <v>0</v>
      </c>
      <c r="Z8" s="8" t="s">
        <v>0</v>
      </c>
      <c r="AA8" s="8" t="s">
        <v>0</v>
      </c>
      <c r="AB8" s="8" t="s">
        <v>0</v>
      </c>
      <c r="AC8" s="8" t="s">
        <v>0</v>
      </c>
      <c r="AD8" s="8" t="s">
        <v>0</v>
      </c>
      <c r="AE8" s="8" t="s">
        <v>0</v>
      </c>
      <c r="AF8" s="8" t="s">
        <v>0</v>
      </c>
      <c r="AG8" s="8" t="s">
        <v>0</v>
      </c>
      <c r="AH8" s="8" t="s">
        <v>0</v>
      </c>
    </row>
    <row r="9" spans="1:34" ht="33.75">
      <c r="A9" s="2" t="s">
        <v>92</v>
      </c>
      <c r="B9" s="2">
        <v>3</v>
      </c>
      <c r="C9" s="2" t="s">
        <v>895</v>
      </c>
      <c r="D9" s="2" t="s">
        <v>839</v>
      </c>
      <c r="E9" s="2" t="s">
        <v>693</v>
      </c>
      <c r="F9" s="2" t="s">
        <v>694</v>
      </c>
      <c r="G9" s="2" t="s">
        <v>840</v>
      </c>
      <c r="H9" s="2" t="s">
        <v>841</v>
      </c>
      <c r="I9" s="2" t="s">
        <v>732</v>
      </c>
      <c r="J9" s="2" t="s">
        <v>842</v>
      </c>
      <c r="K9" s="2" t="s">
        <v>843</v>
      </c>
      <c r="L9" s="2" t="s">
        <v>27</v>
      </c>
      <c r="M9" s="2" t="s">
        <v>30</v>
      </c>
      <c r="N9" s="2" t="s">
        <v>29</v>
      </c>
      <c r="O9" s="2" t="s">
        <v>0</v>
      </c>
      <c r="P9" s="2" t="s">
        <v>0</v>
      </c>
      <c r="Q9" s="2" t="s">
        <v>0</v>
      </c>
      <c r="R9" s="2" t="s">
        <v>0</v>
      </c>
      <c r="S9" s="2" t="s">
        <v>459</v>
      </c>
      <c r="T9" s="2" t="s">
        <v>522</v>
      </c>
      <c r="U9" s="2" t="s">
        <v>444</v>
      </c>
      <c r="V9" s="2" t="s">
        <v>445</v>
      </c>
      <c r="W9" s="2" t="s">
        <v>844</v>
      </c>
      <c r="X9" s="8" t="s">
        <v>0</v>
      </c>
      <c r="Y9" s="8" t="s">
        <v>0</v>
      </c>
      <c r="Z9" s="8" t="s">
        <v>0</v>
      </c>
      <c r="AA9" s="8" t="s">
        <v>0</v>
      </c>
      <c r="AB9" s="8" t="s">
        <v>0</v>
      </c>
      <c r="AC9" s="8" t="s">
        <v>0</v>
      </c>
      <c r="AD9" s="8" t="s">
        <v>0</v>
      </c>
      <c r="AE9" s="8" t="s">
        <v>0</v>
      </c>
      <c r="AF9" s="8" t="s">
        <v>0</v>
      </c>
      <c r="AG9" s="8" t="s">
        <v>0</v>
      </c>
      <c r="AH9" s="8" t="s">
        <v>0</v>
      </c>
    </row>
    <row r="10" spans="1:34" ht="33.75">
      <c r="A10" s="2" t="s">
        <v>92</v>
      </c>
      <c r="B10" s="2">
        <v>3</v>
      </c>
      <c r="C10" s="2" t="s">
        <v>895</v>
      </c>
      <c r="D10" s="2" t="s">
        <v>839</v>
      </c>
      <c r="E10" s="2" t="s">
        <v>687</v>
      </c>
      <c r="F10" s="2" t="s">
        <v>688</v>
      </c>
      <c r="G10" s="2" t="s">
        <v>840</v>
      </c>
      <c r="H10" s="2" t="s">
        <v>841</v>
      </c>
      <c r="I10" s="2" t="s">
        <v>732</v>
      </c>
      <c r="J10" s="2" t="s">
        <v>842</v>
      </c>
      <c r="K10" s="2" t="s">
        <v>843</v>
      </c>
      <c r="L10" s="2" t="s">
        <v>27</v>
      </c>
      <c r="M10" s="2" t="s">
        <v>30</v>
      </c>
      <c r="N10" s="2" t="s">
        <v>29</v>
      </c>
      <c r="O10" s="2" t="s">
        <v>0</v>
      </c>
      <c r="P10" s="2" t="s">
        <v>0</v>
      </c>
      <c r="Q10" s="2" t="s">
        <v>0</v>
      </c>
      <c r="R10" s="2" t="s">
        <v>0</v>
      </c>
      <c r="S10" s="2" t="s">
        <v>545</v>
      </c>
      <c r="T10" s="2" t="s">
        <v>489</v>
      </c>
      <c r="U10" s="2" t="s">
        <v>444</v>
      </c>
      <c r="V10" s="2" t="s">
        <v>445</v>
      </c>
      <c r="W10" s="2" t="s">
        <v>845</v>
      </c>
      <c r="X10" s="8" t="s">
        <v>0</v>
      </c>
      <c r="Y10" s="8" t="s">
        <v>0</v>
      </c>
      <c r="Z10" s="8" t="s">
        <v>0</v>
      </c>
      <c r="AA10" s="8" t="s">
        <v>0</v>
      </c>
      <c r="AB10" s="8" t="s">
        <v>0</v>
      </c>
      <c r="AC10" s="8" t="s">
        <v>0</v>
      </c>
      <c r="AD10" s="8" t="s">
        <v>0</v>
      </c>
      <c r="AE10" s="8" t="s">
        <v>0</v>
      </c>
      <c r="AF10" s="8" t="s">
        <v>0</v>
      </c>
      <c r="AG10" s="8" t="s">
        <v>0</v>
      </c>
      <c r="AH10" s="8" t="s">
        <v>0</v>
      </c>
    </row>
    <row r="11" spans="1:34" ht="33.75">
      <c r="A11" s="2" t="s">
        <v>92</v>
      </c>
      <c r="B11" s="2">
        <v>3</v>
      </c>
      <c r="C11" s="2" t="s">
        <v>895</v>
      </c>
      <c r="D11" s="2" t="s">
        <v>839</v>
      </c>
      <c r="E11" s="2" t="s">
        <v>685</v>
      </c>
      <c r="F11" s="2" t="s">
        <v>686</v>
      </c>
      <c r="G11" s="2" t="s">
        <v>840</v>
      </c>
      <c r="H11" s="2" t="s">
        <v>841</v>
      </c>
      <c r="I11" s="2" t="s">
        <v>732</v>
      </c>
      <c r="J11" s="2" t="s">
        <v>842</v>
      </c>
      <c r="K11" s="2" t="s">
        <v>843</v>
      </c>
      <c r="L11" s="2" t="s">
        <v>27</v>
      </c>
      <c r="M11" s="2" t="s">
        <v>30</v>
      </c>
      <c r="N11" s="2" t="s">
        <v>29</v>
      </c>
      <c r="O11" s="2" t="s">
        <v>0</v>
      </c>
      <c r="P11" s="2" t="s">
        <v>0</v>
      </c>
      <c r="Q11" s="2" t="s">
        <v>0</v>
      </c>
      <c r="R11" s="2" t="s">
        <v>0</v>
      </c>
      <c r="S11" s="2" t="s">
        <v>462</v>
      </c>
      <c r="T11" s="2" t="s">
        <v>489</v>
      </c>
      <c r="U11" s="2" t="s">
        <v>444</v>
      </c>
      <c r="V11" s="2" t="s">
        <v>445</v>
      </c>
      <c r="W11" s="2" t="s">
        <v>846</v>
      </c>
      <c r="X11" s="8" t="s">
        <v>0</v>
      </c>
      <c r="Y11" s="8" t="s">
        <v>0</v>
      </c>
      <c r="Z11" s="8" t="s">
        <v>0</v>
      </c>
      <c r="AA11" s="8" t="s">
        <v>0</v>
      </c>
      <c r="AB11" s="8" t="s">
        <v>0</v>
      </c>
      <c r="AC11" s="8" t="s">
        <v>0</v>
      </c>
      <c r="AD11" s="8" t="s">
        <v>0</v>
      </c>
      <c r="AE11" s="8" t="s">
        <v>0</v>
      </c>
      <c r="AF11" s="8" t="s">
        <v>0</v>
      </c>
      <c r="AG11" s="8" t="s">
        <v>0</v>
      </c>
      <c r="AH11" s="8" t="s">
        <v>0</v>
      </c>
    </row>
    <row r="12" spans="1:34" ht="33.75">
      <c r="A12" s="2" t="s">
        <v>92</v>
      </c>
      <c r="B12" s="2">
        <v>3</v>
      </c>
      <c r="C12" s="2" t="s">
        <v>895</v>
      </c>
      <c r="D12" s="2" t="s">
        <v>839</v>
      </c>
      <c r="E12" s="2" t="s">
        <v>683</v>
      </c>
      <c r="F12" s="2" t="s">
        <v>684</v>
      </c>
      <c r="G12" s="2" t="s">
        <v>840</v>
      </c>
      <c r="H12" s="2" t="s">
        <v>841</v>
      </c>
      <c r="I12" s="2" t="s">
        <v>732</v>
      </c>
      <c r="J12" s="2" t="s">
        <v>842</v>
      </c>
      <c r="K12" s="2" t="s">
        <v>843</v>
      </c>
      <c r="L12" s="2" t="s">
        <v>27</v>
      </c>
      <c r="M12" s="2" t="s">
        <v>30</v>
      </c>
      <c r="N12" s="2" t="s">
        <v>29</v>
      </c>
      <c r="O12" s="2" t="s">
        <v>0</v>
      </c>
      <c r="P12" s="2" t="s">
        <v>0</v>
      </c>
      <c r="Q12" s="2" t="s">
        <v>0</v>
      </c>
      <c r="R12" s="2" t="s">
        <v>0</v>
      </c>
      <c r="S12" s="2" t="s">
        <v>566</v>
      </c>
      <c r="T12" s="2" t="s">
        <v>489</v>
      </c>
      <c r="U12" s="2" t="s">
        <v>444</v>
      </c>
      <c r="V12" s="2" t="s">
        <v>445</v>
      </c>
      <c r="W12" s="2" t="s">
        <v>847</v>
      </c>
      <c r="X12" s="8" t="s">
        <v>0</v>
      </c>
      <c r="Y12" s="8" t="s">
        <v>0</v>
      </c>
      <c r="Z12" s="8" t="s">
        <v>0</v>
      </c>
      <c r="AA12" s="8" t="s">
        <v>0</v>
      </c>
      <c r="AB12" s="8" t="s">
        <v>0</v>
      </c>
      <c r="AC12" s="8" t="s">
        <v>0</v>
      </c>
      <c r="AD12" s="8" t="s">
        <v>0</v>
      </c>
      <c r="AE12" s="8" t="s">
        <v>0</v>
      </c>
      <c r="AF12" s="8" t="s">
        <v>0</v>
      </c>
      <c r="AG12" s="8" t="s">
        <v>0</v>
      </c>
      <c r="AH12" s="8" t="s">
        <v>0</v>
      </c>
    </row>
    <row r="13" spans="1:34" ht="33.75">
      <c r="A13" s="2" t="s">
        <v>92</v>
      </c>
      <c r="B13" s="2">
        <v>3</v>
      </c>
      <c r="C13" s="2" t="s">
        <v>895</v>
      </c>
      <c r="D13" s="2" t="s">
        <v>839</v>
      </c>
      <c r="E13" s="2" t="s">
        <v>695</v>
      </c>
      <c r="F13" s="2" t="s">
        <v>696</v>
      </c>
      <c r="G13" s="2" t="s">
        <v>840</v>
      </c>
      <c r="H13" s="2" t="s">
        <v>841</v>
      </c>
      <c r="I13" s="2" t="s">
        <v>732</v>
      </c>
      <c r="J13" s="2" t="s">
        <v>842</v>
      </c>
      <c r="K13" s="2" t="s">
        <v>843</v>
      </c>
      <c r="L13" s="2" t="s">
        <v>27</v>
      </c>
      <c r="M13" s="2" t="s">
        <v>30</v>
      </c>
      <c r="N13" s="2" t="s">
        <v>29</v>
      </c>
      <c r="O13" s="2" t="s">
        <v>0</v>
      </c>
      <c r="P13" s="2" t="s">
        <v>0</v>
      </c>
      <c r="Q13" s="2" t="s">
        <v>0</v>
      </c>
      <c r="R13" s="2" t="s">
        <v>0</v>
      </c>
      <c r="S13" s="2" t="s">
        <v>545</v>
      </c>
      <c r="T13" s="2" t="s">
        <v>467</v>
      </c>
      <c r="U13" s="2" t="s">
        <v>444</v>
      </c>
      <c r="V13" s="2" t="s">
        <v>445</v>
      </c>
      <c r="W13" s="2" t="s">
        <v>848</v>
      </c>
      <c r="X13" s="8" t="s">
        <v>0</v>
      </c>
      <c r="Y13" s="8" t="s">
        <v>0</v>
      </c>
      <c r="Z13" s="8" t="s">
        <v>0</v>
      </c>
      <c r="AA13" s="8" t="s">
        <v>0</v>
      </c>
      <c r="AB13" s="8" t="s">
        <v>0</v>
      </c>
      <c r="AC13" s="8" t="s">
        <v>0</v>
      </c>
      <c r="AD13" s="8" t="s">
        <v>0</v>
      </c>
      <c r="AE13" s="8" t="s">
        <v>0</v>
      </c>
      <c r="AF13" s="8" t="s">
        <v>0</v>
      </c>
      <c r="AG13" s="8" t="s">
        <v>0</v>
      </c>
      <c r="AH13" s="8" t="s">
        <v>0</v>
      </c>
    </row>
    <row r="14" spans="1:34" ht="33.75">
      <c r="A14" s="2" t="s">
        <v>92</v>
      </c>
      <c r="B14" s="2">
        <v>3</v>
      </c>
      <c r="C14" s="2" t="s">
        <v>895</v>
      </c>
      <c r="D14" s="2" t="s">
        <v>839</v>
      </c>
      <c r="E14" s="2" t="s">
        <v>689</v>
      </c>
      <c r="F14" s="2" t="s">
        <v>690</v>
      </c>
      <c r="G14" s="2" t="s">
        <v>840</v>
      </c>
      <c r="H14" s="2" t="s">
        <v>841</v>
      </c>
      <c r="I14" s="2" t="s">
        <v>732</v>
      </c>
      <c r="J14" s="2" t="s">
        <v>842</v>
      </c>
      <c r="K14" s="2" t="s">
        <v>843</v>
      </c>
      <c r="L14" s="2" t="s">
        <v>27</v>
      </c>
      <c r="M14" s="2" t="s">
        <v>30</v>
      </c>
      <c r="N14" s="2" t="s">
        <v>29</v>
      </c>
      <c r="O14" s="2" t="s">
        <v>0</v>
      </c>
      <c r="P14" s="2" t="s">
        <v>0</v>
      </c>
      <c r="Q14" s="2" t="s">
        <v>0</v>
      </c>
      <c r="R14" s="2" t="s">
        <v>0</v>
      </c>
      <c r="S14" s="2" t="s">
        <v>499</v>
      </c>
      <c r="T14" s="2" t="s">
        <v>463</v>
      </c>
      <c r="U14" s="2" t="s">
        <v>444</v>
      </c>
      <c r="V14" s="2" t="s">
        <v>445</v>
      </c>
      <c r="W14" s="2" t="s">
        <v>849</v>
      </c>
      <c r="X14" s="8" t="s">
        <v>0</v>
      </c>
      <c r="Y14" s="8" t="s">
        <v>0</v>
      </c>
      <c r="Z14" s="8" t="s">
        <v>0</v>
      </c>
      <c r="AA14" s="8" t="s">
        <v>0</v>
      </c>
      <c r="AB14" s="8" t="s">
        <v>0</v>
      </c>
      <c r="AC14" s="8" t="s">
        <v>0</v>
      </c>
      <c r="AD14" s="8" t="s">
        <v>0</v>
      </c>
      <c r="AE14" s="8" t="s">
        <v>0</v>
      </c>
      <c r="AF14" s="8" t="s">
        <v>0</v>
      </c>
      <c r="AG14" s="8" t="s">
        <v>0</v>
      </c>
      <c r="AH14" s="8" t="s">
        <v>0</v>
      </c>
    </row>
    <row r="15" spans="1:34" ht="33.75">
      <c r="A15" s="2" t="s">
        <v>92</v>
      </c>
      <c r="B15" s="2">
        <v>3</v>
      </c>
      <c r="C15" s="2" t="s">
        <v>895</v>
      </c>
      <c r="D15" s="2" t="s">
        <v>839</v>
      </c>
      <c r="E15" s="2" t="s">
        <v>681</v>
      </c>
      <c r="F15" s="2" t="s">
        <v>682</v>
      </c>
      <c r="G15" s="2" t="s">
        <v>840</v>
      </c>
      <c r="H15" s="2" t="s">
        <v>841</v>
      </c>
      <c r="I15" s="2" t="s">
        <v>732</v>
      </c>
      <c r="J15" s="2" t="s">
        <v>842</v>
      </c>
      <c r="K15" s="2" t="s">
        <v>843</v>
      </c>
      <c r="L15" s="2" t="s">
        <v>27</v>
      </c>
      <c r="M15" s="2" t="s">
        <v>30</v>
      </c>
      <c r="N15" s="2" t="s">
        <v>29</v>
      </c>
      <c r="O15" s="2" t="s">
        <v>0</v>
      </c>
      <c r="P15" s="2" t="s">
        <v>0</v>
      </c>
      <c r="Q15" s="2" t="s">
        <v>0</v>
      </c>
      <c r="R15" s="2" t="s">
        <v>0</v>
      </c>
      <c r="S15" s="2" t="s">
        <v>545</v>
      </c>
      <c r="T15" s="2" t="s">
        <v>456</v>
      </c>
      <c r="U15" s="2" t="s">
        <v>444</v>
      </c>
      <c r="V15" s="2" t="s">
        <v>445</v>
      </c>
      <c r="W15" s="2" t="s">
        <v>850</v>
      </c>
      <c r="X15" s="8" t="s">
        <v>0</v>
      </c>
      <c r="Y15" s="8" t="s">
        <v>0</v>
      </c>
      <c r="Z15" s="8" t="s">
        <v>0</v>
      </c>
      <c r="AA15" s="8" t="s">
        <v>0</v>
      </c>
      <c r="AB15" s="8" t="s">
        <v>0</v>
      </c>
      <c r="AC15" s="8" t="s">
        <v>0</v>
      </c>
      <c r="AD15" s="8" t="s">
        <v>0</v>
      </c>
      <c r="AE15" s="8" t="s">
        <v>0</v>
      </c>
      <c r="AF15" s="8" t="s">
        <v>0</v>
      </c>
      <c r="AG15" s="8" t="s">
        <v>0</v>
      </c>
      <c r="AH15" s="8" t="s">
        <v>0</v>
      </c>
    </row>
    <row r="16" spans="1:34" ht="33.75">
      <c r="A16" s="2" t="s">
        <v>92</v>
      </c>
      <c r="B16" s="2">
        <v>3</v>
      </c>
      <c r="C16" s="2" t="s">
        <v>895</v>
      </c>
      <c r="D16" s="2" t="s">
        <v>839</v>
      </c>
      <c r="E16" s="2" t="s">
        <v>677</v>
      </c>
      <c r="F16" s="2" t="s">
        <v>678</v>
      </c>
      <c r="G16" s="2" t="s">
        <v>840</v>
      </c>
      <c r="H16" s="2" t="s">
        <v>841</v>
      </c>
      <c r="I16" s="2" t="s">
        <v>732</v>
      </c>
      <c r="J16" s="2" t="s">
        <v>842</v>
      </c>
      <c r="K16" s="2" t="s">
        <v>843</v>
      </c>
      <c r="L16" s="2" t="s">
        <v>27</v>
      </c>
      <c r="M16" s="2" t="s">
        <v>30</v>
      </c>
      <c r="N16" s="2" t="s">
        <v>29</v>
      </c>
      <c r="O16" s="2" t="s">
        <v>0</v>
      </c>
      <c r="P16" s="2" t="s">
        <v>0</v>
      </c>
      <c r="Q16" s="2" t="s">
        <v>0</v>
      </c>
      <c r="R16" s="2" t="s">
        <v>0</v>
      </c>
      <c r="S16" s="2" t="s">
        <v>449</v>
      </c>
      <c r="T16" s="2" t="s">
        <v>503</v>
      </c>
      <c r="U16" s="2" t="s">
        <v>444</v>
      </c>
      <c r="V16" s="2" t="s">
        <v>445</v>
      </c>
      <c r="W16" s="2" t="s">
        <v>851</v>
      </c>
      <c r="X16" s="8" t="s">
        <v>0</v>
      </c>
      <c r="Y16" s="8" t="s">
        <v>0</v>
      </c>
      <c r="Z16" s="8" t="s">
        <v>0</v>
      </c>
      <c r="AA16" s="8" t="s">
        <v>0</v>
      </c>
      <c r="AB16" s="8" t="s">
        <v>0</v>
      </c>
      <c r="AC16" s="8" t="s">
        <v>0</v>
      </c>
      <c r="AD16" s="8" t="s">
        <v>0</v>
      </c>
      <c r="AE16" s="8" t="s">
        <v>0</v>
      </c>
      <c r="AF16" s="8" t="s">
        <v>0</v>
      </c>
      <c r="AG16" s="8" t="s">
        <v>0</v>
      </c>
      <c r="AH16" s="8" t="s">
        <v>0</v>
      </c>
    </row>
    <row r="17" spans="1:34" ht="33.75">
      <c r="A17" s="2" t="s">
        <v>92</v>
      </c>
      <c r="B17" s="2">
        <v>3</v>
      </c>
      <c r="C17" s="2" t="s">
        <v>895</v>
      </c>
      <c r="D17" s="2" t="s">
        <v>839</v>
      </c>
      <c r="E17" s="2" t="s">
        <v>697</v>
      </c>
      <c r="F17" s="2" t="s">
        <v>698</v>
      </c>
      <c r="G17" s="2" t="s">
        <v>840</v>
      </c>
      <c r="H17" s="2" t="s">
        <v>841</v>
      </c>
      <c r="I17" s="2" t="s">
        <v>732</v>
      </c>
      <c r="J17" s="2" t="s">
        <v>842</v>
      </c>
      <c r="K17" s="2" t="s">
        <v>843</v>
      </c>
      <c r="L17" s="2" t="s">
        <v>27</v>
      </c>
      <c r="M17" s="2" t="s">
        <v>30</v>
      </c>
      <c r="N17" s="2" t="s">
        <v>29</v>
      </c>
      <c r="O17" s="2" t="s">
        <v>0</v>
      </c>
      <c r="P17" s="2" t="s">
        <v>0</v>
      </c>
      <c r="Q17" s="2" t="s">
        <v>0</v>
      </c>
      <c r="R17" s="2" t="s">
        <v>0</v>
      </c>
      <c r="S17" s="2" t="s">
        <v>499</v>
      </c>
      <c r="T17" s="2" t="s">
        <v>470</v>
      </c>
      <c r="U17" s="2" t="s">
        <v>444</v>
      </c>
      <c r="V17" s="2" t="s">
        <v>445</v>
      </c>
      <c r="W17" s="2" t="s">
        <v>852</v>
      </c>
      <c r="X17" s="8" t="s">
        <v>0</v>
      </c>
      <c r="Y17" s="8" t="s">
        <v>0</v>
      </c>
      <c r="Z17" s="8" t="s">
        <v>0</v>
      </c>
      <c r="AA17" s="8" t="s">
        <v>0</v>
      </c>
      <c r="AB17" s="8" t="s">
        <v>0</v>
      </c>
      <c r="AC17" s="8" t="s">
        <v>0</v>
      </c>
      <c r="AD17" s="8" t="s">
        <v>0</v>
      </c>
      <c r="AE17" s="8" t="s">
        <v>0</v>
      </c>
      <c r="AF17" s="8" t="s">
        <v>0</v>
      </c>
      <c r="AG17" s="8" t="s">
        <v>0</v>
      </c>
      <c r="AH17" s="8" t="s">
        <v>0</v>
      </c>
    </row>
    <row r="18" spans="1:34" ht="33.75">
      <c r="A18" s="2" t="s">
        <v>92</v>
      </c>
      <c r="B18" s="2">
        <v>3</v>
      </c>
      <c r="C18" s="2" t="s">
        <v>895</v>
      </c>
      <c r="D18" s="2" t="s">
        <v>839</v>
      </c>
      <c r="E18" s="2" t="s">
        <v>699</v>
      </c>
      <c r="F18" s="2" t="s">
        <v>700</v>
      </c>
      <c r="G18" s="2" t="s">
        <v>840</v>
      </c>
      <c r="H18" s="2" t="s">
        <v>841</v>
      </c>
      <c r="I18" s="2" t="s">
        <v>732</v>
      </c>
      <c r="J18" s="2" t="s">
        <v>842</v>
      </c>
      <c r="K18" s="2" t="s">
        <v>843</v>
      </c>
      <c r="L18" s="2" t="s">
        <v>27</v>
      </c>
      <c r="M18" s="2" t="s">
        <v>30</v>
      </c>
      <c r="N18" s="2" t="s">
        <v>29</v>
      </c>
      <c r="O18" s="2" t="s">
        <v>0</v>
      </c>
      <c r="P18" s="2" t="s">
        <v>0</v>
      </c>
      <c r="Q18" s="2" t="s">
        <v>0</v>
      </c>
      <c r="R18" s="2" t="s">
        <v>0</v>
      </c>
      <c r="S18" s="2" t="s">
        <v>459</v>
      </c>
      <c r="T18" s="2" t="s">
        <v>474</v>
      </c>
      <c r="U18" s="2" t="s">
        <v>444</v>
      </c>
      <c r="V18" s="2" t="s">
        <v>445</v>
      </c>
      <c r="W18" s="2" t="s">
        <v>853</v>
      </c>
      <c r="X18" s="8" t="s">
        <v>0</v>
      </c>
      <c r="Y18" s="8" t="s">
        <v>0</v>
      </c>
      <c r="Z18" s="8" t="s">
        <v>0</v>
      </c>
      <c r="AA18" s="8" t="s">
        <v>0</v>
      </c>
      <c r="AB18" s="8" t="s">
        <v>0</v>
      </c>
      <c r="AC18" s="8" t="s">
        <v>0</v>
      </c>
      <c r="AD18" s="8" t="s">
        <v>0</v>
      </c>
      <c r="AE18" s="8" t="s">
        <v>0</v>
      </c>
      <c r="AF18" s="8" t="s">
        <v>0</v>
      </c>
      <c r="AG18" s="8" t="s">
        <v>0</v>
      </c>
      <c r="AH18" s="8" t="s">
        <v>0</v>
      </c>
    </row>
    <row r="19" spans="1:34" ht="33.75">
      <c r="A19" s="2" t="s">
        <v>92</v>
      </c>
      <c r="B19" s="2">
        <v>3</v>
      </c>
      <c r="C19" s="2" t="s">
        <v>895</v>
      </c>
      <c r="D19" s="2" t="s">
        <v>839</v>
      </c>
      <c r="E19" s="2" t="s">
        <v>691</v>
      </c>
      <c r="F19" s="2" t="s">
        <v>692</v>
      </c>
      <c r="G19" s="2" t="s">
        <v>840</v>
      </c>
      <c r="H19" s="2" t="s">
        <v>841</v>
      </c>
      <c r="I19" s="2" t="s">
        <v>732</v>
      </c>
      <c r="J19" s="2" t="s">
        <v>842</v>
      </c>
      <c r="K19" s="2" t="s">
        <v>843</v>
      </c>
      <c r="L19" s="2" t="s">
        <v>27</v>
      </c>
      <c r="M19" s="2" t="s">
        <v>30</v>
      </c>
      <c r="N19" s="2" t="s">
        <v>29</v>
      </c>
      <c r="O19" s="2" t="s">
        <v>0</v>
      </c>
      <c r="P19" s="2" t="s">
        <v>0</v>
      </c>
      <c r="Q19" s="2" t="s">
        <v>0</v>
      </c>
      <c r="R19" s="2" t="s">
        <v>0</v>
      </c>
      <c r="S19" s="2" t="s">
        <v>442</v>
      </c>
      <c r="T19" s="2" t="s">
        <v>496</v>
      </c>
      <c r="U19" s="2" t="s">
        <v>444</v>
      </c>
      <c r="V19" s="2" t="s">
        <v>445</v>
      </c>
      <c r="W19" s="2" t="s">
        <v>854</v>
      </c>
      <c r="X19" s="8" t="s">
        <v>0</v>
      </c>
      <c r="Y19" s="8" t="s">
        <v>0</v>
      </c>
      <c r="Z19" s="8" t="s">
        <v>0</v>
      </c>
      <c r="AA19" s="8" t="s">
        <v>0</v>
      </c>
      <c r="AB19" s="8" t="s">
        <v>0</v>
      </c>
      <c r="AC19" s="8" t="s">
        <v>0</v>
      </c>
      <c r="AD19" s="8" t="s">
        <v>0</v>
      </c>
      <c r="AE19" s="8" t="s">
        <v>0</v>
      </c>
      <c r="AF19" s="8" t="s">
        <v>0</v>
      </c>
      <c r="AG19" s="8" t="s">
        <v>0</v>
      </c>
      <c r="AH19" s="8" t="s">
        <v>0</v>
      </c>
    </row>
    <row r="20" spans="1:34" ht="33.75">
      <c r="A20" s="2" t="s">
        <v>92</v>
      </c>
      <c r="B20" s="2">
        <v>3</v>
      </c>
      <c r="C20" s="2" t="s">
        <v>895</v>
      </c>
      <c r="D20" s="2" t="s">
        <v>839</v>
      </c>
      <c r="E20" s="2" t="s">
        <v>674</v>
      </c>
      <c r="F20" s="2" t="s">
        <v>676</v>
      </c>
      <c r="G20" s="2" t="s">
        <v>840</v>
      </c>
      <c r="H20" s="2" t="s">
        <v>841</v>
      </c>
      <c r="I20" s="2" t="s">
        <v>732</v>
      </c>
      <c r="J20" s="2" t="s">
        <v>842</v>
      </c>
      <c r="K20" s="2" t="s">
        <v>843</v>
      </c>
      <c r="L20" s="2" t="s">
        <v>27</v>
      </c>
      <c r="M20" s="2" t="s">
        <v>30</v>
      </c>
      <c r="N20" s="2" t="s">
        <v>29</v>
      </c>
      <c r="O20" s="2" t="s">
        <v>0</v>
      </c>
      <c r="P20" s="2" t="s">
        <v>0</v>
      </c>
      <c r="Q20" s="2" t="s">
        <v>0</v>
      </c>
      <c r="R20" s="2" t="s">
        <v>0</v>
      </c>
      <c r="S20" s="2" t="s">
        <v>477</v>
      </c>
      <c r="T20" s="2" t="s">
        <v>443</v>
      </c>
      <c r="U20" s="2" t="s">
        <v>444</v>
      </c>
      <c r="V20" s="2" t="s">
        <v>445</v>
      </c>
      <c r="W20" s="2" t="s">
        <v>855</v>
      </c>
      <c r="X20" s="8" t="s">
        <v>0</v>
      </c>
      <c r="Y20" s="8" t="s">
        <v>0</v>
      </c>
      <c r="Z20" s="8" t="s">
        <v>0</v>
      </c>
      <c r="AA20" s="8" t="s">
        <v>0</v>
      </c>
      <c r="AB20" s="8" t="s">
        <v>0</v>
      </c>
      <c r="AC20" s="8" t="s">
        <v>0</v>
      </c>
      <c r="AD20" s="8" t="s">
        <v>0</v>
      </c>
      <c r="AE20" s="8" t="s">
        <v>0</v>
      </c>
      <c r="AF20" s="8" t="s">
        <v>0</v>
      </c>
      <c r="AG20" s="8" t="s">
        <v>0</v>
      </c>
      <c r="AH20" s="8" t="s">
        <v>0</v>
      </c>
    </row>
    <row r="21" spans="1:34" ht="33.75">
      <c r="A21" s="2" t="s">
        <v>92</v>
      </c>
      <c r="B21" s="2">
        <v>3</v>
      </c>
      <c r="C21" s="2" t="s">
        <v>895</v>
      </c>
      <c r="D21" s="2" t="s">
        <v>839</v>
      </c>
      <c r="E21" s="2" t="s">
        <v>679</v>
      </c>
      <c r="F21" s="2" t="s">
        <v>680</v>
      </c>
      <c r="G21" s="2" t="s">
        <v>840</v>
      </c>
      <c r="H21" s="2" t="s">
        <v>841</v>
      </c>
      <c r="I21" s="2" t="s">
        <v>732</v>
      </c>
      <c r="J21" s="2" t="s">
        <v>842</v>
      </c>
      <c r="K21" s="2" t="s">
        <v>843</v>
      </c>
      <c r="L21" s="2" t="s">
        <v>27</v>
      </c>
      <c r="M21" s="2" t="s">
        <v>30</v>
      </c>
      <c r="N21" s="2" t="s">
        <v>29</v>
      </c>
      <c r="O21" s="2" t="s">
        <v>0</v>
      </c>
      <c r="P21" s="2" t="s">
        <v>0</v>
      </c>
      <c r="Q21" s="2" t="s">
        <v>0</v>
      </c>
      <c r="R21" s="2" t="s">
        <v>0</v>
      </c>
      <c r="S21" s="2" t="s">
        <v>571</v>
      </c>
      <c r="T21" s="2" t="s">
        <v>480</v>
      </c>
      <c r="U21" s="2" t="s">
        <v>444</v>
      </c>
      <c r="V21" s="2" t="s">
        <v>445</v>
      </c>
      <c r="W21" s="2" t="s">
        <v>856</v>
      </c>
      <c r="X21" s="8" t="s">
        <v>0</v>
      </c>
      <c r="Y21" s="8" t="s">
        <v>0</v>
      </c>
      <c r="Z21" s="8" t="s">
        <v>0</v>
      </c>
      <c r="AA21" s="8" t="s">
        <v>0</v>
      </c>
      <c r="AB21" s="8" t="s">
        <v>0</v>
      </c>
      <c r="AC21" s="8" t="s">
        <v>0</v>
      </c>
      <c r="AD21" s="8" t="s">
        <v>0</v>
      </c>
      <c r="AE21" s="8" t="s">
        <v>0</v>
      </c>
      <c r="AF21" s="8" t="s">
        <v>0</v>
      </c>
      <c r="AG21" s="8" t="s">
        <v>0</v>
      </c>
      <c r="AH21" s="8" t="s">
        <v>0</v>
      </c>
    </row>
    <row r="22" spans="1:34" ht="45">
      <c r="A22" s="2" t="s">
        <v>92</v>
      </c>
      <c r="B22" s="2">
        <v>3</v>
      </c>
      <c r="C22" s="2" t="s">
        <v>898</v>
      </c>
      <c r="D22" s="2" t="s">
        <v>730</v>
      </c>
      <c r="E22" s="2" t="s">
        <v>95</v>
      </c>
      <c r="F22" s="2" t="s">
        <v>94</v>
      </c>
      <c r="G22" s="2" t="s">
        <v>0</v>
      </c>
      <c r="H22" s="2" t="s">
        <v>827</v>
      </c>
      <c r="I22" s="2" t="s">
        <v>732</v>
      </c>
      <c r="J22" s="2" t="s">
        <v>828</v>
      </c>
      <c r="K22" s="2" t="s">
        <v>829</v>
      </c>
      <c r="L22" s="2" t="s">
        <v>27</v>
      </c>
      <c r="M22" s="2" t="s">
        <v>30</v>
      </c>
      <c r="N22" s="2" t="s">
        <v>29</v>
      </c>
      <c r="O22" s="2" t="s">
        <v>96</v>
      </c>
      <c r="P22" s="2" t="s">
        <v>97</v>
      </c>
      <c r="Q22" s="2" t="s">
        <v>741</v>
      </c>
      <c r="R22" s="2" t="s">
        <v>742</v>
      </c>
      <c r="S22" s="2" t="s">
        <v>0</v>
      </c>
      <c r="T22" s="2" t="s">
        <v>0</v>
      </c>
      <c r="U22" s="2" t="s">
        <v>0</v>
      </c>
      <c r="V22" s="2" t="s">
        <v>0</v>
      </c>
      <c r="W22" s="2" t="s">
        <v>0</v>
      </c>
      <c r="X22" s="8" t="s">
        <v>0</v>
      </c>
      <c r="Y22" s="8" t="s">
        <v>0</v>
      </c>
      <c r="Z22" s="8" t="s">
        <v>0</v>
      </c>
      <c r="AA22" s="8" t="s">
        <v>0</v>
      </c>
      <c r="AB22" s="8" t="s">
        <v>0</v>
      </c>
      <c r="AC22" s="8" t="s">
        <v>0</v>
      </c>
      <c r="AD22" s="8" t="s">
        <v>0</v>
      </c>
      <c r="AE22" s="8" t="s">
        <v>0</v>
      </c>
      <c r="AF22" s="8" t="s">
        <v>0</v>
      </c>
      <c r="AG22" s="8" t="s">
        <v>0</v>
      </c>
      <c r="AH22" s="8" t="s">
        <v>0</v>
      </c>
    </row>
    <row r="23" spans="1:34" ht="45">
      <c r="A23" s="2" t="s">
        <v>92</v>
      </c>
      <c r="B23" s="2">
        <v>3</v>
      </c>
      <c r="C23" s="2" t="s">
        <v>898</v>
      </c>
      <c r="D23" s="2" t="s">
        <v>730</v>
      </c>
      <c r="E23" s="2" t="s">
        <v>108</v>
      </c>
      <c r="F23" s="2" t="s">
        <v>107</v>
      </c>
      <c r="G23" s="2" t="s">
        <v>0</v>
      </c>
      <c r="H23" s="2" t="s">
        <v>827</v>
      </c>
      <c r="I23" s="2" t="s">
        <v>732</v>
      </c>
      <c r="J23" s="2" t="s">
        <v>828</v>
      </c>
      <c r="K23" s="2" t="s">
        <v>829</v>
      </c>
      <c r="L23" s="2" t="s">
        <v>27</v>
      </c>
      <c r="M23" s="2" t="s">
        <v>30</v>
      </c>
      <c r="N23" s="2" t="s">
        <v>29</v>
      </c>
      <c r="O23" s="2" t="s">
        <v>109</v>
      </c>
      <c r="P23" s="2" t="s">
        <v>97</v>
      </c>
      <c r="Q23" s="2" t="s">
        <v>743</v>
      </c>
      <c r="R23" s="2" t="s">
        <v>744</v>
      </c>
      <c r="S23" s="2" t="s">
        <v>0</v>
      </c>
      <c r="T23" s="2" t="s">
        <v>0</v>
      </c>
      <c r="U23" s="2" t="s">
        <v>0</v>
      </c>
      <c r="V23" s="2" t="s">
        <v>0</v>
      </c>
      <c r="W23" s="2" t="s">
        <v>0</v>
      </c>
      <c r="X23" s="8" t="s">
        <v>0</v>
      </c>
      <c r="Y23" s="8" t="s">
        <v>0</v>
      </c>
      <c r="Z23" s="8" t="s">
        <v>0</v>
      </c>
      <c r="AA23" s="8" t="s">
        <v>0</v>
      </c>
      <c r="AB23" s="8" t="s">
        <v>0</v>
      </c>
      <c r="AC23" s="8" t="s">
        <v>0</v>
      </c>
      <c r="AD23" s="8" t="s">
        <v>0</v>
      </c>
      <c r="AE23" s="8" t="s">
        <v>0</v>
      </c>
      <c r="AF23" s="8" t="s">
        <v>0</v>
      </c>
      <c r="AG23" s="8" t="s">
        <v>0</v>
      </c>
      <c r="AH23" s="8" t="s">
        <v>0</v>
      </c>
    </row>
    <row r="24" spans="1:34" ht="45">
      <c r="A24" s="2" t="s">
        <v>92</v>
      </c>
      <c r="B24" s="2">
        <v>3</v>
      </c>
      <c r="C24" s="2" t="s">
        <v>898</v>
      </c>
      <c r="D24" s="2" t="s">
        <v>730</v>
      </c>
      <c r="E24" s="2" t="s">
        <v>115</v>
      </c>
      <c r="F24" s="2" t="s">
        <v>114</v>
      </c>
      <c r="G24" s="2" t="s">
        <v>0</v>
      </c>
      <c r="H24" s="2" t="s">
        <v>827</v>
      </c>
      <c r="I24" s="2" t="s">
        <v>732</v>
      </c>
      <c r="J24" s="2" t="s">
        <v>828</v>
      </c>
      <c r="K24" s="2" t="s">
        <v>829</v>
      </c>
      <c r="L24" s="2" t="s">
        <v>27</v>
      </c>
      <c r="M24" s="2" t="s">
        <v>30</v>
      </c>
      <c r="N24" s="2" t="s">
        <v>29</v>
      </c>
      <c r="O24" s="2" t="s">
        <v>116</v>
      </c>
      <c r="P24" s="2" t="s">
        <v>97</v>
      </c>
      <c r="Q24" s="2" t="s">
        <v>745</v>
      </c>
      <c r="R24" s="2" t="s">
        <v>746</v>
      </c>
      <c r="S24" s="2" t="s">
        <v>0</v>
      </c>
      <c r="T24" s="2" t="s">
        <v>0</v>
      </c>
      <c r="U24" s="2" t="s">
        <v>0</v>
      </c>
      <c r="V24" s="2" t="s">
        <v>0</v>
      </c>
      <c r="W24" s="2" t="s">
        <v>0</v>
      </c>
      <c r="X24" s="8" t="s">
        <v>0</v>
      </c>
      <c r="Y24" s="8" t="s">
        <v>0</v>
      </c>
      <c r="Z24" s="8" t="s">
        <v>0</v>
      </c>
      <c r="AA24" s="8" t="s">
        <v>0</v>
      </c>
      <c r="AB24" s="8" t="s">
        <v>0</v>
      </c>
      <c r="AC24" s="8" t="s">
        <v>0</v>
      </c>
      <c r="AD24" s="8" t="s">
        <v>0</v>
      </c>
      <c r="AE24" s="8" t="s">
        <v>0</v>
      </c>
      <c r="AF24" s="8" t="s">
        <v>0</v>
      </c>
      <c r="AG24" s="8" t="s">
        <v>0</v>
      </c>
      <c r="AH24" s="8" t="s">
        <v>0</v>
      </c>
    </row>
    <row r="25" spans="1:34" ht="45">
      <c r="A25" s="2" t="s">
        <v>121</v>
      </c>
      <c r="B25" s="2">
        <v>3</v>
      </c>
      <c r="C25" s="2" t="s">
        <v>898</v>
      </c>
      <c r="D25" s="2" t="s">
        <v>730</v>
      </c>
      <c r="E25" s="2" t="s">
        <v>123</v>
      </c>
      <c r="F25" s="2" t="s">
        <v>122</v>
      </c>
      <c r="G25" s="2" t="s">
        <v>0</v>
      </c>
      <c r="H25" s="2" t="s">
        <v>827</v>
      </c>
      <c r="I25" s="2" t="s">
        <v>732</v>
      </c>
      <c r="J25" s="2" t="s">
        <v>828</v>
      </c>
      <c r="K25" s="2" t="s">
        <v>829</v>
      </c>
      <c r="L25" s="2" t="s">
        <v>27</v>
      </c>
      <c r="M25" s="2" t="s">
        <v>30</v>
      </c>
      <c r="N25" s="2" t="s">
        <v>29</v>
      </c>
      <c r="O25" s="2" t="s">
        <v>124</v>
      </c>
      <c r="P25" s="2" t="s">
        <v>97</v>
      </c>
      <c r="Q25" s="2" t="s">
        <v>783</v>
      </c>
      <c r="R25" s="2" t="s">
        <v>784</v>
      </c>
      <c r="S25" s="2" t="s">
        <v>0</v>
      </c>
      <c r="T25" s="2" t="s">
        <v>0</v>
      </c>
      <c r="U25" s="2" t="s">
        <v>0</v>
      </c>
      <c r="V25" s="2" t="s">
        <v>0</v>
      </c>
      <c r="W25" s="2" t="s">
        <v>0</v>
      </c>
      <c r="X25" s="8" t="s">
        <v>0</v>
      </c>
      <c r="Y25" s="8" t="s">
        <v>0</v>
      </c>
      <c r="Z25" s="8" t="s">
        <v>0</v>
      </c>
      <c r="AA25" s="8" t="s">
        <v>0</v>
      </c>
      <c r="AB25" s="8" t="s">
        <v>0</v>
      </c>
      <c r="AC25" s="8" t="s">
        <v>0</v>
      </c>
      <c r="AD25" s="8" t="s">
        <v>0</v>
      </c>
      <c r="AE25" s="8" t="s">
        <v>0</v>
      </c>
      <c r="AF25" s="8" t="s">
        <v>0</v>
      </c>
      <c r="AG25" s="8" t="s">
        <v>0</v>
      </c>
      <c r="AH25" s="8" t="s">
        <v>0</v>
      </c>
    </row>
    <row r="26" spans="1:34" ht="45">
      <c r="A26" s="2" t="s">
        <v>121</v>
      </c>
      <c r="B26" s="2">
        <v>3</v>
      </c>
      <c r="C26" s="2" t="s">
        <v>898</v>
      </c>
      <c r="D26" s="2" t="s">
        <v>730</v>
      </c>
      <c r="E26" s="2" t="s">
        <v>130</v>
      </c>
      <c r="F26" s="2" t="s">
        <v>129</v>
      </c>
      <c r="G26" s="2" t="s">
        <v>0</v>
      </c>
      <c r="H26" s="2" t="s">
        <v>827</v>
      </c>
      <c r="I26" s="2" t="s">
        <v>732</v>
      </c>
      <c r="J26" s="2" t="s">
        <v>828</v>
      </c>
      <c r="K26" s="2" t="s">
        <v>829</v>
      </c>
      <c r="L26" s="2" t="s">
        <v>27</v>
      </c>
      <c r="M26" s="2" t="s">
        <v>30</v>
      </c>
      <c r="N26" s="2" t="s">
        <v>29</v>
      </c>
      <c r="O26" s="2" t="s">
        <v>131</v>
      </c>
      <c r="P26" s="2" t="s">
        <v>97</v>
      </c>
      <c r="Q26" s="2" t="s">
        <v>785</v>
      </c>
      <c r="R26" s="2" t="s">
        <v>786</v>
      </c>
      <c r="S26" s="2" t="s">
        <v>0</v>
      </c>
      <c r="T26" s="2" t="s">
        <v>0</v>
      </c>
      <c r="U26" s="2" t="s">
        <v>0</v>
      </c>
      <c r="V26" s="2" t="s">
        <v>0</v>
      </c>
      <c r="W26" s="2" t="s">
        <v>0</v>
      </c>
      <c r="X26" s="8" t="s">
        <v>0</v>
      </c>
      <c r="Y26" s="8" t="s">
        <v>0</v>
      </c>
      <c r="Z26" s="8" t="s">
        <v>0</v>
      </c>
      <c r="AA26" s="8" t="s">
        <v>0</v>
      </c>
      <c r="AB26" s="8" t="s">
        <v>0</v>
      </c>
      <c r="AC26" s="8" t="s">
        <v>0</v>
      </c>
      <c r="AD26" s="8" t="s">
        <v>0</v>
      </c>
      <c r="AE26" s="8" t="s">
        <v>0</v>
      </c>
      <c r="AF26" s="8" t="s">
        <v>0</v>
      </c>
      <c r="AG26" s="8" t="s">
        <v>0</v>
      </c>
      <c r="AH26" s="8" t="s">
        <v>0</v>
      </c>
    </row>
    <row r="27" spans="1:34" ht="45">
      <c r="A27" s="2" t="s">
        <v>121</v>
      </c>
      <c r="B27" s="2">
        <v>3</v>
      </c>
      <c r="C27" s="2" t="s">
        <v>898</v>
      </c>
      <c r="D27" s="2" t="s">
        <v>730</v>
      </c>
      <c r="E27" s="2" t="s">
        <v>137</v>
      </c>
      <c r="F27" s="2" t="s">
        <v>136</v>
      </c>
      <c r="G27" s="2" t="s">
        <v>0</v>
      </c>
      <c r="H27" s="2" t="s">
        <v>827</v>
      </c>
      <c r="I27" s="2" t="s">
        <v>732</v>
      </c>
      <c r="J27" s="2" t="s">
        <v>828</v>
      </c>
      <c r="K27" s="2" t="s">
        <v>829</v>
      </c>
      <c r="L27" s="2" t="s">
        <v>27</v>
      </c>
      <c r="M27" s="2" t="s">
        <v>30</v>
      </c>
      <c r="N27" s="2" t="s">
        <v>29</v>
      </c>
      <c r="O27" s="2" t="s">
        <v>138</v>
      </c>
      <c r="P27" s="2" t="s">
        <v>97</v>
      </c>
      <c r="Q27" s="2" t="s">
        <v>787</v>
      </c>
      <c r="R27" s="2" t="s">
        <v>788</v>
      </c>
      <c r="S27" s="2" t="s">
        <v>0</v>
      </c>
      <c r="T27" s="2" t="s">
        <v>0</v>
      </c>
      <c r="U27" s="2" t="s">
        <v>0</v>
      </c>
      <c r="V27" s="2" t="s">
        <v>0</v>
      </c>
      <c r="W27" s="2" t="s">
        <v>0</v>
      </c>
      <c r="X27" s="8" t="s">
        <v>0</v>
      </c>
      <c r="Y27" s="8" t="s">
        <v>0</v>
      </c>
      <c r="Z27" s="8" t="s">
        <v>0</v>
      </c>
      <c r="AA27" s="8" t="s">
        <v>0</v>
      </c>
      <c r="AB27" s="8" t="s">
        <v>0</v>
      </c>
      <c r="AC27" s="8" t="s">
        <v>0</v>
      </c>
      <c r="AD27" s="8" t="s">
        <v>0</v>
      </c>
      <c r="AE27" s="8" t="s">
        <v>0</v>
      </c>
      <c r="AF27" s="8" t="s">
        <v>0</v>
      </c>
      <c r="AG27" s="8" t="s">
        <v>0</v>
      </c>
      <c r="AH27" s="8" t="s">
        <v>0</v>
      </c>
    </row>
    <row r="28" spans="1:34" ht="45">
      <c r="A28" s="2" t="s">
        <v>92</v>
      </c>
      <c r="B28" s="2">
        <v>3</v>
      </c>
      <c r="C28" s="2" t="s">
        <v>898</v>
      </c>
      <c r="D28" s="2" t="s">
        <v>730</v>
      </c>
      <c r="E28" s="2" t="s">
        <v>144</v>
      </c>
      <c r="F28" s="2" t="s">
        <v>143</v>
      </c>
      <c r="G28" s="2" t="s">
        <v>0</v>
      </c>
      <c r="H28" s="2" t="s">
        <v>827</v>
      </c>
      <c r="I28" s="2" t="s">
        <v>732</v>
      </c>
      <c r="J28" s="2" t="s">
        <v>828</v>
      </c>
      <c r="K28" s="2" t="s">
        <v>829</v>
      </c>
      <c r="L28" s="2" t="s">
        <v>27</v>
      </c>
      <c r="M28" s="2" t="s">
        <v>30</v>
      </c>
      <c r="N28" s="2" t="s">
        <v>29</v>
      </c>
      <c r="O28" s="2" t="s">
        <v>145</v>
      </c>
      <c r="P28" s="2" t="s">
        <v>97</v>
      </c>
      <c r="Q28" s="2" t="s">
        <v>789</v>
      </c>
      <c r="R28" s="2" t="s">
        <v>790</v>
      </c>
      <c r="S28" s="2" t="s">
        <v>0</v>
      </c>
      <c r="T28" s="2" t="s">
        <v>0</v>
      </c>
      <c r="U28" s="2" t="s">
        <v>0</v>
      </c>
      <c r="V28" s="2" t="s">
        <v>0</v>
      </c>
      <c r="W28" s="2" t="s">
        <v>0</v>
      </c>
      <c r="X28" s="8" t="s">
        <v>0</v>
      </c>
      <c r="Y28" s="8" t="s">
        <v>0</v>
      </c>
      <c r="Z28" s="8" t="s">
        <v>0</v>
      </c>
      <c r="AA28" s="8" t="s">
        <v>0</v>
      </c>
      <c r="AB28" s="8" t="s">
        <v>0</v>
      </c>
      <c r="AC28" s="8" t="s">
        <v>0</v>
      </c>
      <c r="AD28" s="8" t="s">
        <v>0</v>
      </c>
      <c r="AE28" s="8" t="s">
        <v>0</v>
      </c>
      <c r="AF28" s="8" t="s">
        <v>0</v>
      </c>
      <c r="AG28" s="8" t="s">
        <v>0</v>
      </c>
      <c r="AH28" s="8" t="s">
        <v>0</v>
      </c>
    </row>
    <row r="29" spans="1:34" ht="45">
      <c r="A29" s="2" t="s">
        <v>121</v>
      </c>
      <c r="B29" s="2">
        <v>3</v>
      </c>
      <c r="C29" s="2" t="s">
        <v>898</v>
      </c>
      <c r="D29" s="2" t="s">
        <v>730</v>
      </c>
      <c r="E29" s="2" t="s">
        <v>152</v>
      </c>
      <c r="F29" s="2" t="s">
        <v>151</v>
      </c>
      <c r="G29" s="2" t="s">
        <v>0</v>
      </c>
      <c r="H29" s="2" t="s">
        <v>827</v>
      </c>
      <c r="I29" s="2" t="s">
        <v>732</v>
      </c>
      <c r="J29" s="2" t="s">
        <v>828</v>
      </c>
      <c r="K29" s="2" t="s">
        <v>829</v>
      </c>
      <c r="L29" s="2" t="s">
        <v>27</v>
      </c>
      <c r="M29" s="2" t="s">
        <v>30</v>
      </c>
      <c r="N29" s="2" t="s">
        <v>29</v>
      </c>
      <c r="O29" s="2" t="s">
        <v>153</v>
      </c>
      <c r="P29" s="2" t="s">
        <v>97</v>
      </c>
      <c r="Q29" s="2" t="s">
        <v>791</v>
      </c>
      <c r="R29" s="2" t="s">
        <v>792</v>
      </c>
      <c r="S29" s="2" t="s">
        <v>0</v>
      </c>
      <c r="T29" s="2" t="s">
        <v>0</v>
      </c>
      <c r="U29" s="2" t="s">
        <v>0</v>
      </c>
      <c r="V29" s="2" t="s">
        <v>0</v>
      </c>
      <c r="W29" s="2" t="s">
        <v>0</v>
      </c>
      <c r="X29" s="8" t="s">
        <v>0</v>
      </c>
      <c r="Y29" s="8" t="s">
        <v>0</v>
      </c>
      <c r="Z29" s="8" t="s">
        <v>0</v>
      </c>
      <c r="AA29" s="8" t="s">
        <v>0</v>
      </c>
      <c r="AB29" s="8" t="s">
        <v>0</v>
      </c>
      <c r="AC29" s="8" t="s">
        <v>0</v>
      </c>
      <c r="AD29" s="8" t="s">
        <v>0</v>
      </c>
      <c r="AE29" s="8" t="s">
        <v>0</v>
      </c>
      <c r="AF29" s="8" t="s">
        <v>0</v>
      </c>
      <c r="AG29" s="8" t="s">
        <v>0</v>
      </c>
      <c r="AH29" s="8" t="s">
        <v>0</v>
      </c>
    </row>
    <row r="30" spans="1:34" ht="45">
      <c r="A30" s="2" t="s">
        <v>92</v>
      </c>
      <c r="B30" s="2">
        <v>3</v>
      </c>
      <c r="C30" s="2" t="s">
        <v>898</v>
      </c>
      <c r="D30" s="2" t="s">
        <v>730</v>
      </c>
      <c r="E30" s="2" t="s">
        <v>159</v>
      </c>
      <c r="F30" s="2" t="s">
        <v>158</v>
      </c>
      <c r="G30" s="2" t="s">
        <v>0</v>
      </c>
      <c r="H30" s="2" t="s">
        <v>827</v>
      </c>
      <c r="I30" s="2" t="s">
        <v>732</v>
      </c>
      <c r="J30" s="2" t="s">
        <v>828</v>
      </c>
      <c r="K30" s="2" t="s">
        <v>829</v>
      </c>
      <c r="L30" s="2" t="s">
        <v>27</v>
      </c>
      <c r="M30" s="2" t="s">
        <v>30</v>
      </c>
      <c r="N30" s="2" t="s">
        <v>29</v>
      </c>
      <c r="O30" s="2" t="s">
        <v>160</v>
      </c>
      <c r="P30" s="2" t="s">
        <v>97</v>
      </c>
      <c r="Q30" s="2" t="s">
        <v>793</v>
      </c>
      <c r="R30" s="2" t="s">
        <v>794</v>
      </c>
      <c r="S30" s="2" t="s">
        <v>0</v>
      </c>
      <c r="T30" s="2" t="s">
        <v>0</v>
      </c>
      <c r="U30" s="2" t="s">
        <v>0</v>
      </c>
      <c r="V30" s="2" t="s">
        <v>0</v>
      </c>
      <c r="W30" s="2" t="s">
        <v>0</v>
      </c>
      <c r="X30" s="8" t="s">
        <v>0</v>
      </c>
      <c r="Y30" s="8" t="s">
        <v>0</v>
      </c>
      <c r="Z30" s="8" t="s">
        <v>0</v>
      </c>
      <c r="AA30" s="8" t="s">
        <v>0</v>
      </c>
      <c r="AB30" s="8" t="s">
        <v>0</v>
      </c>
      <c r="AC30" s="8" t="s">
        <v>0</v>
      </c>
      <c r="AD30" s="8" t="s">
        <v>0</v>
      </c>
      <c r="AE30" s="8" t="s">
        <v>0</v>
      </c>
      <c r="AF30" s="8" t="s">
        <v>0</v>
      </c>
      <c r="AG30" s="8" t="s">
        <v>0</v>
      </c>
      <c r="AH30" s="8" t="s">
        <v>0</v>
      </c>
    </row>
    <row r="31" spans="1:34" ht="45">
      <c r="A31" s="2" t="s">
        <v>121</v>
      </c>
      <c r="B31" s="2">
        <v>3</v>
      </c>
      <c r="C31" s="2" t="s">
        <v>898</v>
      </c>
      <c r="D31" s="2" t="s">
        <v>730</v>
      </c>
      <c r="E31" s="2" t="s">
        <v>165</v>
      </c>
      <c r="F31" s="2" t="s">
        <v>164</v>
      </c>
      <c r="G31" s="2" t="s">
        <v>0</v>
      </c>
      <c r="H31" s="2" t="s">
        <v>827</v>
      </c>
      <c r="I31" s="2" t="s">
        <v>732</v>
      </c>
      <c r="J31" s="2" t="s">
        <v>828</v>
      </c>
      <c r="K31" s="2" t="s">
        <v>829</v>
      </c>
      <c r="L31" s="2" t="s">
        <v>27</v>
      </c>
      <c r="M31" s="2" t="s">
        <v>30</v>
      </c>
      <c r="N31" s="2" t="s">
        <v>29</v>
      </c>
      <c r="O31" s="2" t="s">
        <v>166</v>
      </c>
      <c r="P31" s="2" t="s">
        <v>97</v>
      </c>
      <c r="Q31" s="2" t="s">
        <v>795</v>
      </c>
      <c r="R31" s="2" t="s">
        <v>796</v>
      </c>
      <c r="S31" s="2" t="s">
        <v>0</v>
      </c>
      <c r="T31" s="2" t="s">
        <v>0</v>
      </c>
      <c r="U31" s="2" t="s">
        <v>0</v>
      </c>
      <c r="V31" s="2" t="s">
        <v>0</v>
      </c>
      <c r="W31" s="2" t="s">
        <v>0</v>
      </c>
      <c r="X31" s="8" t="s">
        <v>0</v>
      </c>
      <c r="Y31" s="8" t="s">
        <v>0</v>
      </c>
      <c r="Z31" s="8" t="s">
        <v>0</v>
      </c>
      <c r="AA31" s="8" t="s">
        <v>0</v>
      </c>
      <c r="AB31" s="8" t="s">
        <v>0</v>
      </c>
      <c r="AC31" s="8" t="s">
        <v>0</v>
      </c>
      <c r="AD31" s="8" t="s">
        <v>0</v>
      </c>
      <c r="AE31" s="8" t="s">
        <v>0</v>
      </c>
      <c r="AF31" s="8" t="s">
        <v>0</v>
      </c>
      <c r="AG31" s="8" t="s">
        <v>0</v>
      </c>
      <c r="AH31" s="8" t="s">
        <v>0</v>
      </c>
    </row>
    <row r="32" spans="1:34" ht="45">
      <c r="A32" s="2" t="s">
        <v>121</v>
      </c>
      <c r="B32" s="2">
        <v>3</v>
      </c>
      <c r="C32" s="2" t="s">
        <v>898</v>
      </c>
      <c r="D32" s="2" t="s">
        <v>730</v>
      </c>
      <c r="E32" s="2" t="s">
        <v>172</v>
      </c>
      <c r="F32" s="2" t="s">
        <v>171</v>
      </c>
      <c r="G32" s="2" t="s">
        <v>0</v>
      </c>
      <c r="H32" s="2" t="s">
        <v>827</v>
      </c>
      <c r="I32" s="2" t="s">
        <v>732</v>
      </c>
      <c r="J32" s="2" t="s">
        <v>828</v>
      </c>
      <c r="K32" s="2" t="s">
        <v>829</v>
      </c>
      <c r="L32" s="2" t="s">
        <v>27</v>
      </c>
      <c r="M32" s="2" t="s">
        <v>30</v>
      </c>
      <c r="N32" s="2" t="s">
        <v>29</v>
      </c>
      <c r="O32" s="2" t="s">
        <v>173</v>
      </c>
      <c r="P32" s="2" t="s">
        <v>97</v>
      </c>
      <c r="Q32" s="2" t="s">
        <v>797</v>
      </c>
      <c r="R32" s="2" t="s">
        <v>798</v>
      </c>
      <c r="S32" s="2" t="s">
        <v>0</v>
      </c>
      <c r="T32" s="2" t="s">
        <v>0</v>
      </c>
      <c r="U32" s="2" t="s">
        <v>0</v>
      </c>
      <c r="V32" s="2" t="s">
        <v>0</v>
      </c>
      <c r="W32" s="2" t="s">
        <v>0</v>
      </c>
      <c r="X32" s="8" t="s">
        <v>0</v>
      </c>
      <c r="Y32" s="8" t="s">
        <v>0</v>
      </c>
      <c r="Z32" s="8" t="s">
        <v>0</v>
      </c>
      <c r="AA32" s="8" t="s">
        <v>0</v>
      </c>
      <c r="AB32" s="8" t="s">
        <v>0</v>
      </c>
      <c r="AC32" s="8" t="s">
        <v>0</v>
      </c>
      <c r="AD32" s="8" t="s">
        <v>0</v>
      </c>
      <c r="AE32" s="8" t="s">
        <v>0</v>
      </c>
      <c r="AF32" s="8" t="s">
        <v>0</v>
      </c>
      <c r="AG32" s="8" t="s">
        <v>0</v>
      </c>
      <c r="AH32" s="8" t="s">
        <v>0</v>
      </c>
    </row>
    <row r="33" spans="1:34" ht="45">
      <c r="A33" s="2" t="s">
        <v>121</v>
      </c>
      <c r="B33" s="2">
        <v>3</v>
      </c>
      <c r="C33" s="2" t="s">
        <v>898</v>
      </c>
      <c r="D33" s="2" t="s">
        <v>730</v>
      </c>
      <c r="E33" s="2" t="s">
        <v>179</v>
      </c>
      <c r="F33" s="2" t="s">
        <v>178</v>
      </c>
      <c r="G33" s="2" t="s">
        <v>0</v>
      </c>
      <c r="H33" s="2" t="s">
        <v>827</v>
      </c>
      <c r="I33" s="2" t="s">
        <v>732</v>
      </c>
      <c r="J33" s="2" t="s">
        <v>828</v>
      </c>
      <c r="K33" s="2" t="s">
        <v>829</v>
      </c>
      <c r="L33" s="2" t="s">
        <v>27</v>
      </c>
      <c r="M33" s="2" t="s">
        <v>30</v>
      </c>
      <c r="N33" s="2" t="s">
        <v>29</v>
      </c>
      <c r="O33" s="2" t="s">
        <v>180</v>
      </c>
      <c r="P33" s="2" t="s">
        <v>97</v>
      </c>
      <c r="Q33" s="2" t="s">
        <v>799</v>
      </c>
      <c r="R33" s="2" t="s">
        <v>800</v>
      </c>
      <c r="S33" s="2" t="s">
        <v>0</v>
      </c>
      <c r="T33" s="2" t="s">
        <v>0</v>
      </c>
      <c r="U33" s="2" t="s">
        <v>0</v>
      </c>
      <c r="V33" s="2" t="s">
        <v>0</v>
      </c>
      <c r="W33" s="2" t="s">
        <v>0</v>
      </c>
      <c r="X33" s="8" t="s">
        <v>0</v>
      </c>
      <c r="Y33" s="8" t="s">
        <v>0</v>
      </c>
      <c r="Z33" s="8" t="s">
        <v>0</v>
      </c>
      <c r="AA33" s="8" t="s">
        <v>0</v>
      </c>
      <c r="AB33" s="8" t="s">
        <v>0</v>
      </c>
      <c r="AC33" s="8" t="s">
        <v>0</v>
      </c>
      <c r="AD33" s="8" t="s">
        <v>0</v>
      </c>
      <c r="AE33" s="8" t="s">
        <v>0</v>
      </c>
      <c r="AF33" s="8" t="s">
        <v>0</v>
      </c>
      <c r="AG33" s="8" t="s">
        <v>0</v>
      </c>
      <c r="AH33" s="8" t="s">
        <v>0</v>
      </c>
    </row>
    <row r="34" spans="1:34" ht="45">
      <c r="A34" s="2" t="s">
        <v>121</v>
      </c>
      <c r="B34" s="2">
        <v>3</v>
      </c>
      <c r="C34" s="2" t="s">
        <v>898</v>
      </c>
      <c r="D34" s="2" t="s">
        <v>730</v>
      </c>
      <c r="E34" s="2" t="s">
        <v>186</v>
      </c>
      <c r="F34" s="2" t="s">
        <v>185</v>
      </c>
      <c r="G34" s="2" t="s">
        <v>0</v>
      </c>
      <c r="H34" s="2" t="s">
        <v>827</v>
      </c>
      <c r="I34" s="2" t="s">
        <v>732</v>
      </c>
      <c r="J34" s="2" t="s">
        <v>828</v>
      </c>
      <c r="K34" s="2" t="s">
        <v>829</v>
      </c>
      <c r="L34" s="2" t="s">
        <v>27</v>
      </c>
      <c r="M34" s="2" t="s">
        <v>30</v>
      </c>
      <c r="N34" s="2" t="s">
        <v>29</v>
      </c>
      <c r="O34" s="2" t="s">
        <v>187</v>
      </c>
      <c r="P34" s="2" t="s">
        <v>97</v>
      </c>
      <c r="Q34" s="2" t="s">
        <v>801</v>
      </c>
      <c r="R34" s="2" t="s">
        <v>802</v>
      </c>
      <c r="S34" s="2" t="s">
        <v>0</v>
      </c>
      <c r="T34" s="2" t="s">
        <v>0</v>
      </c>
      <c r="U34" s="2" t="s">
        <v>0</v>
      </c>
      <c r="V34" s="2" t="s">
        <v>0</v>
      </c>
      <c r="W34" s="2" t="s">
        <v>0</v>
      </c>
      <c r="X34" s="8" t="s">
        <v>0</v>
      </c>
      <c r="Y34" s="8" t="s">
        <v>0</v>
      </c>
      <c r="Z34" s="8" t="s">
        <v>0</v>
      </c>
      <c r="AA34" s="8" t="s">
        <v>0</v>
      </c>
      <c r="AB34" s="8" t="s">
        <v>0</v>
      </c>
      <c r="AC34" s="8" t="s">
        <v>0</v>
      </c>
      <c r="AD34" s="8" t="s">
        <v>0</v>
      </c>
      <c r="AE34" s="8" t="s">
        <v>0</v>
      </c>
      <c r="AF34" s="8" t="s">
        <v>0</v>
      </c>
      <c r="AG34" s="8" t="s">
        <v>0</v>
      </c>
      <c r="AH34" s="8" t="s">
        <v>0</v>
      </c>
    </row>
    <row r="35" spans="1:34" ht="45">
      <c r="A35" s="2" t="s">
        <v>121</v>
      </c>
      <c r="B35" s="2">
        <v>3</v>
      </c>
      <c r="C35" s="2" t="s">
        <v>898</v>
      </c>
      <c r="D35" s="2" t="s">
        <v>730</v>
      </c>
      <c r="E35" s="2" t="s">
        <v>193</v>
      </c>
      <c r="F35" s="2" t="s">
        <v>192</v>
      </c>
      <c r="G35" s="2" t="s">
        <v>0</v>
      </c>
      <c r="H35" s="2" t="s">
        <v>827</v>
      </c>
      <c r="I35" s="2" t="s">
        <v>732</v>
      </c>
      <c r="J35" s="2" t="s">
        <v>828</v>
      </c>
      <c r="K35" s="2" t="s">
        <v>829</v>
      </c>
      <c r="L35" s="2" t="s">
        <v>27</v>
      </c>
      <c r="M35" s="2" t="s">
        <v>30</v>
      </c>
      <c r="N35" s="2" t="s">
        <v>29</v>
      </c>
      <c r="O35" s="2" t="s">
        <v>194</v>
      </c>
      <c r="P35" s="2" t="s">
        <v>97</v>
      </c>
      <c r="Q35" s="2" t="s">
        <v>757</v>
      </c>
      <c r="R35" s="2" t="s">
        <v>758</v>
      </c>
      <c r="S35" s="2" t="s">
        <v>0</v>
      </c>
      <c r="T35" s="2" t="s">
        <v>0</v>
      </c>
      <c r="U35" s="2" t="s">
        <v>0</v>
      </c>
      <c r="V35" s="2" t="s">
        <v>0</v>
      </c>
      <c r="W35" s="2" t="s">
        <v>0</v>
      </c>
      <c r="X35" s="8" t="s">
        <v>0</v>
      </c>
      <c r="Y35" s="8" t="s">
        <v>0</v>
      </c>
      <c r="Z35" s="8" t="s">
        <v>0</v>
      </c>
      <c r="AA35" s="8" t="s">
        <v>0</v>
      </c>
      <c r="AB35" s="8" t="s">
        <v>0</v>
      </c>
      <c r="AC35" s="8" t="s">
        <v>0</v>
      </c>
      <c r="AD35" s="8" t="s">
        <v>0</v>
      </c>
      <c r="AE35" s="8" t="s">
        <v>0</v>
      </c>
      <c r="AF35" s="8" t="s">
        <v>0</v>
      </c>
      <c r="AG35" s="8" t="s">
        <v>0</v>
      </c>
      <c r="AH35" s="8" t="s">
        <v>0</v>
      </c>
    </row>
    <row r="36" spans="1:34" ht="45">
      <c r="A36" s="2" t="s">
        <v>92</v>
      </c>
      <c r="B36" s="2">
        <v>3</v>
      </c>
      <c r="C36" s="2" t="s">
        <v>898</v>
      </c>
      <c r="D36" s="2" t="s">
        <v>730</v>
      </c>
      <c r="E36" s="2" t="s">
        <v>200</v>
      </c>
      <c r="F36" s="2" t="s">
        <v>199</v>
      </c>
      <c r="G36" s="2" t="s">
        <v>0</v>
      </c>
      <c r="H36" s="2" t="s">
        <v>827</v>
      </c>
      <c r="I36" s="2" t="s">
        <v>732</v>
      </c>
      <c r="J36" s="2" t="s">
        <v>828</v>
      </c>
      <c r="K36" s="2" t="s">
        <v>829</v>
      </c>
      <c r="L36" s="2" t="s">
        <v>27</v>
      </c>
      <c r="M36" s="2" t="s">
        <v>30</v>
      </c>
      <c r="N36" s="2" t="s">
        <v>29</v>
      </c>
      <c r="O36" s="2" t="s">
        <v>201</v>
      </c>
      <c r="P36" s="2" t="s">
        <v>97</v>
      </c>
      <c r="Q36" s="2" t="s">
        <v>747</v>
      </c>
      <c r="R36" s="2" t="s">
        <v>748</v>
      </c>
      <c r="S36" s="2" t="s">
        <v>0</v>
      </c>
      <c r="T36" s="2" t="s">
        <v>0</v>
      </c>
      <c r="U36" s="2" t="s">
        <v>0</v>
      </c>
      <c r="V36" s="2" t="s">
        <v>0</v>
      </c>
      <c r="W36" s="2" t="s">
        <v>0</v>
      </c>
      <c r="X36" s="8" t="s">
        <v>0</v>
      </c>
      <c r="Y36" s="8" t="s">
        <v>0</v>
      </c>
      <c r="Z36" s="8" t="s">
        <v>0</v>
      </c>
      <c r="AA36" s="8" t="s">
        <v>0</v>
      </c>
      <c r="AB36" s="8" t="s">
        <v>0</v>
      </c>
      <c r="AC36" s="8" t="s">
        <v>0</v>
      </c>
      <c r="AD36" s="8" t="s">
        <v>0</v>
      </c>
      <c r="AE36" s="8" t="s">
        <v>0</v>
      </c>
      <c r="AF36" s="8" t="s">
        <v>0</v>
      </c>
      <c r="AG36" s="8" t="s">
        <v>0</v>
      </c>
      <c r="AH36" s="8" t="s">
        <v>0</v>
      </c>
    </row>
    <row r="37" spans="1:34" ht="45">
      <c r="A37" s="2" t="s">
        <v>92</v>
      </c>
      <c r="B37" s="2">
        <v>3</v>
      </c>
      <c r="C37" s="2" t="s">
        <v>898</v>
      </c>
      <c r="D37" s="2" t="s">
        <v>730</v>
      </c>
      <c r="E37" s="2" t="s">
        <v>207</v>
      </c>
      <c r="F37" s="2" t="s">
        <v>206</v>
      </c>
      <c r="G37" s="2" t="s">
        <v>0</v>
      </c>
      <c r="H37" s="2" t="s">
        <v>827</v>
      </c>
      <c r="I37" s="2" t="s">
        <v>732</v>
      </c>
      <c r="J37" s="2" t="s">
        <v>828</v>
      </c>
      <c r="K37" s="2" t="s">
        <v>829</v>
      </c>
      <c r="L37" s="2" t="s">
        <v>27</v>
      </c>
      <c r="M37" s="2" t="s">
        <v>30</v>
      </c>
      <c r="N37" s="2" t="s">
        <v>29</v>
      </c>
      <c r="O37" s="2" t="s">
        <v>208</v>
      </c>
      <c r="P37" s="2" t="s">
        <v>97</v>
      </c>
      <c r="Q37" s="2" t="s">
        <v>803</v>
      </c>
      <c r="R37" s="2" t="s">
        <v>804</v>
      </c>
      <c r="S37" s="2" t="s">
        <v>0</v>
      </c>
      <c r="T37" s="2" t="s">
        <v>0</v>
      </c>
      <c r="U37" s="2" t="s">
        <v>0</v>
      </c>
      <c r="V37" s="2" t="s">
        <v>0</v>
      </c>
      <c r="W37" s="2" t="s">
        <v>0</v>
      </c>
      <c r="X37" s="8" t="s">
        <v>0</v>
      </c>
      <c r="Y37" s="8" t="s">
        <v>0</v>
      </c>
      <c r="Z37" s="8" t="s">
        <v>0</v>
      </c>
      <c r="AA37" s="8" t="s">
        <v>0</v>
      </c>
      <c r="AB37" s="8" t="s">
        <v>0</v>
      </c>
      <c r="AC37" s="8" t="s">
        <v>0</v>
      </c>
      <c r="AD37" s="8" t="s">
        <v>0</v>
      </c>
      <c r="AE37" s="8" t="s">
        <v>0</v>
      </c>
      <c r="AF37" s="8" t="s">
        <v>0</v>
      </c>
      <c r="AG37" s="8" t="s">
        <v>0</v>
      </c>
      <c r="AH37" s="8" t="s">
        <v>0</v>
      </c>
    </row>
    <row r="38" spans="1:34" ht="45">
      <c r="A38" s="2" t="s">
        <v>121</v>
      </c>
      <c r="B38" s="2">
        <v>3</v>
      </c>
      <c r="C38" s="2" t="s">
        <v>898</v>
      </c>
      <c r="D38" s="2" t="s">
        <v>730</v>
      </c>
      <c r="E38" s="2" t="s">
        <v>214</v>
      </c>
      <c r="F38" s="2" t="s">
        <v>213</v>
      </c>
      <c r="G38" s="2" t="s">
        <v>0</v>
      </c>
      <c r="H38" s="2" t="s">
        <v>827</v>
      </c>
      <c r="I38" s="2" t="s">
        <v>732</v>
      </c>
      <c r="J38" s="2" t="s">
        <v>828</v>
      </c>
      <c r="K38" s="2" t="s">
        <v>829</v>
      </c>
      <c r="L38" s="2" t="s">
        <v>27</v>
      </c>
      <c r="M38" s="2" t="s">
        <v>30</v>
      </c>
      <c r="N38" s="2" t="s">
        <v>29</v>
      </c>
      <c r="O38" s="2" t="s">
        <v>215</v>
      </c>
      <c r="P38" s="2" t="s">
        <v>97</v>
      </c>
      <c r="Q38" s="2" t="s">
        <v>805</v>
      </c>
      <c r="R38" s="2" t="s">
        <v>806</v>
      </c>
      <c r="S38" s="2" t="s">
        <v>0</v>
      </c>
      <c r="T38" s="2" t="s">
        <v>0</v>
      </c>
      <c r="U38" s="2" t="s">
        <v>0</v>
      </c>
      <c r="V38" s="2" t="s">
        <v>0</v>
      </c>
      <c r="W38" s="2" t="s">
        <v>0</v>
      </c>
      <c r="X38" s="8" t="s">
        <v>0</v>
      </c>
      <c r="Y38" s="8" t="s">
        <v>0</v>
      </c>
      <c r="Z38" s="8" t="s">
        <v>0</v>
      </c>
      <c r="AA38" s="8" t="s">
        <v>0</v>
      </c>
      <c r="AB38" s="8" t="s">
        <v>0</v>
      </c>
      <c r="AC38" s="8" t="s">
        <v>0</v>
      </c>
      <c r="AD38" s="8" t="s">
        <v>0</v>
      </c>
      <c r="AE38" s="8" t="s">
        <v>0</v>
      </c>
      <c r="AF38" s="8" t="s">
        <v>0</v>
      </c>
      <c r="AG38" s="8" t="s">
        <v>0</v>
      </c>
      <c r="AH38" s="8" t="s">
        <v>0</v>
      </c>
    </row>
    <row r="39" spans="1:34" ht="45">
      <c r="A39" s="2" t="s">
        <v>121</v>
      </c>
      <c r="B39" s="2">
        <v>3</v>
      </c>
      <c r="C39" s="2" t="s">
        <v>898</v>
      </c>
      <c r="D39" s="2" t="s">
        <v>730</v>
      </c>
      <c r="E39" s="2" t="s">
        <v>221</v>
      </c>
      <c r="F39" s="2" t="s">
        <v>220</v>
      </c>
      <c r="G39" s="2" t="s">
        <v>0</v>
      </c>
      <c r="H39" s="2" t="s">
        <v>827</v>
      </c>
      <c r="I39" s="2" t="s">
        <v>732</v>
      </c>
      <c r="J39" s="2" t="s">
        <v>828</v>
      </c>
      <c r="K39" s="2" t="s">
        <v>829</v>
      </c>
      <c r="L39" s="2" t="s">
        <v>27</v>
      </c>
      <c r="M39" s="2" t="s">
        <v>30</v>
      </c>
      <c r="N39" s="2" t="s">
        <v>29</v>
      </c>
      <c r="O39" s="2" t="s">
        <v>222</v>
      </c>
      <c r="P39" s="2" t="s">
        <v>97</v>
      </c>
      <c r="Q39" s="2" t="s">
        <v>759</v>
      </c>
      <c r="R39" s="2" t="s">
        <v>760</v>
      </c>
      <c r="S39" s="2" t="s">
        <v>0</v>
      </c>
      <c r="T39" s="2" t="s">
        <v>0</v>
      </c>
      <c r="U39" s="2" t="s">
        <v>0</v>
      </c>
      <c r="V39" s="2" t="s">
        <v>0</v>
      </c>
      <c r="W39" s="2" t="s">
        <v>0</v>
      </c>
      <c r="X39" s="8" t="s">
        <v>0</v>
      </c>
      <c r="Y39" s="8" t="s">
        <v>0</v>
      </c>
      <c r="Z39" s="8" t="s">
        <v>0</v>
      </c>
      <c r="AA39" s="8" t="s">
        <v>0</v>
      </c>
      <c r="AB39" s="8" t="s">
        <v>0</v>
      </c>
      <c r="AC39" s="8" t="s">
        <v>0</v>
      </c>
      <c r="AD39" s="8" t="s">
        <v>0</v>
      </c>
      <c r="AE39" s="8" t="s">
        <v>0</v>
      </c>
      <c r="AF39" s="8" t="s">
        <v>0</v>
      </c>
      <c r="AG39" s="8" t="s">
        <v>0</v>
      </c>
      <c r="AH39" s="8" t="s">
        <v>0</v>
      </c>
    </row>
    <row r="40" spans="1:34" ht="45">
      <c r="A40" s="2" t="s">
        <v>121</v>
      </c>
      <c r="B40" s="2">
        <v>3</v>
      </c>
      <c r="C40" s="2" t="s">
        <v>898</v>
      </c>
      <c r="D40" s="2" t="s">
        <v>730</v>
      </c>
      <c r="E40" s="2" t="s">
        <v>228</v>
      </c>
      <c r="F40" s="2" t="s">
        <v>227</v>
      </c>
      <c r="G40" s="2" t="s">
        <v>0</v>
      </c>
      <c r="H40" s="2" t="s">
        <v>827</v>
      </c>
      <c r="I40" s="2" t="s">
        <v>732</v>
      </c>
      <c r="J40" s="2" t="s">
        <v>828</v>
      </c>
      <c r="K40" s="2" t="s">
        <v>829</v>
      </c>
      <c r="L40" s="2" t="s">
        <v>27</v>
      </c>
      <c r="M40" s="2" t="s">
        <v>30</v>
      </c>
      <c r="N40" s="2" t="s">
        <v>29</v>
      </c>
      <c r="O40" s="2" t="s">
        <v>229</v>
      </c>
      <c r="P40" s="2" t="s">
        <v>97</v>
      </c>
      <c r="Q40" s="2" t="s">
        <v>761</v>
      </c>
      <c r="R40" s="2" t="s">
        <v>762</v>
      </c>
      <c r="S40" s="2" t="s">
        <v>0</v>
      </c>
      <c r="T40" s="2" t="s">
        <v>0</v>
      </c>
      <c r="U40" s="2" t="s">
        <v>0</v>
      </c>
      <c r="V40" s="2" t="s">
        <v>0</v>
      </c>
      <c r="W40" s="2" t="s">
        <v>0</v>
      </c>
      <c r="X40" s="8" t="s">
        <v>0</v>
      </c>
      <c r="Y40" s="8" t="s">
        <v>0</v>
      </c>
      <c r="Z40" s="8" t="s">
        <v>0</v>
      </c>
      <c r="AA40" s="8" t="s">
        <v>0</v>
      </c>
      <c r="AB40" s="8" t="s">
        <v>0</v>
      </c>
      <c r="AC40" s="8" t="s">
        <v>0</v>
      </c>
      <c r="AD40" s="8" t="s">
        <v>0</v>
      </c>
      <c r="AE40" s="8" t="s">
        <v>0</v>
      </c>
      <c r="AF40" s="8" t="s">
        <v>0</v>
      </c>
      <c r="AG40" s="8" t="s">
        <v>0</v>
      </c>
      <c r="AH40" s="8" t="s">
        <v>0</v>
      </c>
    </row>
    <row r="41" spans="1:34" ht="45">
      <c r="A41" s="2" t="s">
        <v>121</v>
      </c>
      <c r="B41" s="2">
        <v>3</v>
      </c>
      <c r="C41" s="2" t="s">
        <v>898</v>
      </c>
      <c r="D41" s="2" t="s">
        <v>730</v>
      </c>
      <c r="E41" s="2" t="s">
        <v>234</v>
      </c>
      <c r="F41" s="2" t="s">
        <v>233</v>
      </c>
      <c r="G41" s="2" t="s">
        <v>0</v>
      </c>
      <c r="H41" s="2" t="s">
        <v>827</v>
      </c>
      <c r="I41" s="2" t="s">
        <v>732</v>
      </c>
      <c r="J41" s="2" t="s">
        <v>828</v>
      </c>
      <c r="K41" s="2" t="s">
        <v>829</v>
      </c>
      <c r="L41" s="2" t="s">
        <v>27</v>
      </c>
      <c r="M41" s="2" t="s">
        <v>30</v>
      </c>
      <c r="N41" s="2" t="s">
        <v>29</v>
      </c>
      <c r="O41" s="2" t="s">
        <v>235</v>
      </c>
      <c r="P41" s="2" t="s">
        <v>97</v>
      </c>
      <c r="Q41" s="2" t="s">
        <v>807</v>
      </c>
      <c r="R41" s="2" t="s">
        <v>808</v>
      </c>
      <c r="S41" s="2" t="s">
        <v>0</v>
      </c>
      <c r="T41" s="2" t="s">
        <v>0</v>
      </c>
      <c r="U41" s="2" t="s">
        <v>0</v>
      </c>
      <c r="V41" s="2" t="s">
        <v>0</v>
      </c>
      <c r="W41" s="2" t="s">
        <v>0</v>
      </c>
      <c r="X41" s="8" t="s">
        <v>0</v>
      </c>
      <c r="Y41" s="8" t="s">
        <v>0</v>
      </c>
      <c r="Z41" s="8" t="s">
        <v>0</v>
      </c>
      <c r="AA41" s="8" t="s">
        <v>0</v>
      </c>
      <c r="AB41" s="8" t="s">
        <v>0</v>
      </c>
      <c r="AC41" s="8" t="s">
        <v>0</v>
      </c>
      <c r="AD41" s="8" t="s">
        <v>0</v>
      </c>
      <c r="AE41" s="8" t="s">
        <v>0</v>
      </c>
      <c r="AF41" s="8" t="s">
        <v>0</v>
      </c>
      <c r="AG41" s="8" t="s">
        <v>0</v>
      </c>
      <c r="AH41" s="8" t="s">
        <v>0</v>
      </c>
    </row>
    <row r="42" spans="1:34" ht="45">
      <c r="A42" s="2" t="s">
        <v>121</v>
      </c>
      <c r="B42" s="2">
        <v>3</v>
      </c>
      <c r="C42" s="2" t="s">
        <v>898</v>
      </c>
      <c r="D42" s="2" t="s">
        <v>730</v>
      </c>
      <c r="E42" s="2" t="s">
        <v>241</v>
      </c>
      <c r="F42" s="2" t="s">
        <v>240</v>
      </c>
      <c r="G42" s="2" t="s">
        <v>0</v>
      </c>
      <c r="H42" s="2" t="s">
        <v>827</v>
      </c>
      <c r="I42" s="2" t="s">
        <v>732</v>
      </c>
      <c r="J42" s="2" t="s">
        <v>828</v>
      </c>
      <c r="K42" s="2" t="s">
        <v>829</v>
      </c>
      <c r="L42" s="2" t="s">
        <v>27</v>
      </c>
      <c r="M42" s="2" t="s">
        <v>30</v>
      </c>
      <c r="N42" s="2" t="s">
        <v>29</v>
      </c>
      <c r="O42" s="2" t="s">
        <v>242</v>
      </c>
      <c r="P42" s="2" t="s">
        <v>97</v>
      </c>
      <c r="Q42" s="2" t="s">
        <v>809</v>
      </c>
      <c r="R42" s="2" t="s">
        <v>810</v>
      </c>
      <c r="S42" s="2" t="s">
        <v>0</v>
      </c>
      <c r="T42" s="2" t="s">
        <v>0</v>
      </c>
      <c r="U42" s="2" t="s">
        <v>0</v>
      </c>
      <c r="V42" s="2" t="s">
        <v>0</v>
      </c>
      <c r="W42" s="2" t="s">
        <v>0</v>
      </c>
      <c r="X42" s="8" t="s">
        <v>0</v>
      </c>
      <c r="Y42" s="8" t="s">
        <v>0</v>
      </c>
      <c r="Z42" s="8" t="s">
        <v>0</v>
      </c>
      <c r="AA42" s="8" t="s">
        <v>0</v>
      </c>
      <c r="AB42" s="8" t="s">
        <v>0</v>
      </c>
      <c r="AC42" s="8" t="s">
        <v>0</v>
      </c>
      <c r="AD42" s="8" t="s">
        <v>0</v>
      </c>
      <c r="AE42" s="8" t="s">
        <v>0</v>
      </c>
      <c r="AF42" s="8" t="s">
        <v>0</v>
      </c>
      <c r="AG42" s="8" t="s">
        <v>0</v>
      </c>
      <c r="AH42" s="8" t="s">
        <v>0</v>
      </c>
    </row>
    <row r="43" spans="1:34" ht="45">
      <c r="A43" s="2" t="s">
        <v>121</v>
      </c>
      <c r="B43" s="2">
        <v>3</v>
      </c>
      <c r="C43" s="2" t="s">
        <v>898</v>
      </c>
      <c r="D43" s="2" t="s">
        <v>730</v>
      </c>
      <c r="E43" s="2" t="s">
        <v>247</v>
      </c>
      <c r="F43" s="2" t="s">
        <v>246</v>
      </c>
      <c r="G43" s="2" t="s">
        <v>0</v>
      </c>
      <c r="H43" s="2" t="s">
        <v>827</v>
      </c>
      <c r="I43" s="2" t="s">
        <v>732</v>
      </c>
      <c r="J43" s="2" t="s">
        <v>828</v>
      </c>
      <c r="K43" s="2" t="s">
        <v>829</v>
      </c>
      <c r="L43" s="2" t="s">
        <v>27</v>
      </c>
      <c r="M43" s="2" t="s">
        <v>30</v>
      </c>
      <c r="N43" s="2" t="s">
        <v>29</v>
      </c>
      <c r="O43" s="2" t="s">
        <v>31</v>
      </c>
      <c r="P43" s="2" t="s">
        <v>97</v>
      </c>
      <c r="Q43" s="2" t="s">
        <v>735</v>
      </c>
      <c r="R43" s="2" t="s">
        <v>736</v>
      </c>
      <c r="S43" s="2" t="s">
        <v>0</v>
      </c>
      <c r="T43" s="2" t="s">
        <v>0</v>
      </c>
      <c r="U43" s="2" t="s">
        <v>0</v>
      </c>
      <c r="V43" s="2" t="s">
        <v>0</v>
      </c>
      <c r="W43" s="2" t="s">
        <v>0</v>
      </c>
      <c r="X43" s="8" t="s">
        <v>0</v>
      </c>
      <c r="Y43" s="8" t="s">
        <v>0</v>
      </c>
      <c r="Z43" s="8" t="s">
        <v>0</v>
      </c>
      <c r="AA43" s="8" t="s">
        <v>0</v>
      </c>
      <c r="AB43" s="8" t="s">
        <v>0</v>
      </c>
      <c r="AC43" s="8" t="s">
        <v>0</v>
      </c>
      <c r="AD43" s="8" t="s">
        <v>0</v>
      </c>
      <c r="AE43" s="8" t="s">
        <v>0</v>
      </c>
      <c r="AF43" s="8" t="s">
        <v>0</v>
      </c>
      <c r="AG43" s="8" t="s">
        <v>0</v>
      </c>
      <c r="AH43" s="8" t="s">
        <v>0</v>
      </c>
    </row>
    <row r="44" spans="1:34" ht="45">
      <c r="A44" s="2" t="s">
        <v>92</v>
      </c>
      <c r="B44" s="2">
        <v>3</v>
      </c>
      <c r="C44" s="2" t="s">
        <v>898</v>
      </c>
      <c r="D44" s="2" t="s">
        <v>730</v>
      </c>
      <c r="E44" s="2" t="s">
        <v>253</v>
      </c>
      <c r="F44" s="2" t="s">
        <v>252</v>
      </c>
      <c r="G44" s="2" t="s">
        <v>0</v>
      </c>
      <c r="H44" s="2" t="s">
        <v>827</v>
      </c>
      <c r="I44" s="2" t="s">
        <v>732</v>
      </c>
      <c r="J44" s="2" t="s">
        <v>828</v>
      </c>
      <c r="K44" s="2" t="s">
        <v>829</v>
      </c>
      <c r="L44" s="2" t="s">
        <v>27</v>
      </c>
      <c r="M44" s="2" t="s">
        <v>30</v>
      </c>
      <c r="N44" s="2" t="s">
        <v>29</v>
      </c>
      <c r="O44" s="2" t="s">
        <v>254</v>
      </c>
      <c r="P44" s="2" t="s">
        <v>97</v>
      </c>
      <c r="Q44" s="2" t="s">
        <v>749</v>
      </c>
      <c r="R44" s="2" t="s">
        <v>750</v>
      </c>
      <c r="S44" s="2" t="s">
        <v>0</v>
      </c>
      <c r="T44" s="2" t="s">
        <v>0</v>
      </c>
      <c r="U44" s="2" t="s">
        <v>0</v>
      </c>
      <c r="V44" s="2" t="s">
        <v>0</v>
      </c>
      <c r="W44" s="2" t="s">
        <v>0</v>
      </c>
      <c r="X44" s="8" t="s">
        <v>0</v>
      </c>
      <c r="Y44" s="8" t="s">
        <v>0</v>
      </c>
      <c r="Z44" s="8" t="s">
        <v>0</v>
      </c>
      <c r="AA44" s="8" t="s">
        <v>0</v>
      </c>
      <c r="AB44" s="8" t="s">
        <v>0</v>
      </c>
      <c r="AC44" s="8" t="s">
        <v>0</v>
      </c>
      <c r="AD44" s="8" t="s">
        <v>0</v>
      </c>
      <c r="AE44" s="8" t="s">
        <v>0</v>
      </c>
      <c r="AF44" s="8" t="s">
        <v>0</v>
      </c>
      <c r="AG44" s="8" t="s">
        <v>0</v>
      </c>
      <c r="AH44" s="8" t="s">
        <v>0</v>
      </c>
    </row>
    <row r="45" spans="1:34" ht="45">
      <c r="A45" s="2" t="s">
        <v>92</v>
      </c>
      <c r="B45" s="2">
        <v>3</v>
      </c>
      <c r="C45" s="2" t="s">
        <v>898</v>
      </c>
      <c r="D45" s="2" t="s">
        <v>730</v>
      </c>
      <c r="E45" s="2" t="s">
        <v>260</v>
      </c>
      <c r="F45" s="2" t="s">
        <v>259</v>
      </c>
      <c r="G45" s="2" t="s">
        <v>0</v>
      </c>
      <c r="H45" s="2" t="s">
        <v>827</v>
      </c>
      <c r="I45" s="2" t="s">
        <v>732</v>
      </c>
      <c r="J45" s="2" t="s">
        <v>828</v>
      </c>
      <c r="K45" s="2" t="s">
        <v>829</v>
      </c>
      <c r="L45" s="2" t="s">
        <v>27</v>
      </c>
      <c r="M45" s="2" t="s">
        <v>30</v>
      </c>
      <c r="N45" s="2" t="s">
        <v>29</v>
      </c>
      <c r="O45" s="2" t="s">
        <v>261</v>
      </c>
      <c r="P45" s="2" t="s">
        <v>97</v>
      </c>
      <c r="Q45" s="2" t="s">
        <v>751</v>
      </c>
      <c r="R45" s="2" t="s">
        <v>752</v>
      </c>
      <c r="S45" s="2" t="s">
        <v>0</v>
      </c>
      <c r="T45" s="2" t="s">
        <v>0</v>
      </c>
      <c r="U45" s="2" t="s">
        <v>0</v>
      </c>
      <c r="V45" s="2" t="s">
        <v>0</v>
      </c>
      <c r="W45" s="2" t="s">
        <v>0</v>
      </c>
      <c r="X45" s="8" t="s">
        <v>0</v>
      </c>
      <c r="Y45" s="8" t="s">
        <v>0</v>
      </c>
      <c r="Z45" s="8" t="s">
        <v>0</v>
      </c>
      <c r="AA45" s="8" t="s">
        <v>0</v>
      </c>
      <c r="AB45" s="8" t="s">
        <v>0</v>
      </c>
      <c r="AC45" s="8" t="s">
        <v>0</v>
      </c>
      <c r="AD45" s="8" t="s">
        <v>0</v>
      </c>
      <c r="AE45" s="8" t="s">
        <v>0</v>
      </c>
      <c r="AF45" s="8" t="s">
        <v>0</v>
      </c>
      <c r="AG45" s="8" t="s">
        <v>0</v>
      </c>
      <c r="AH45" s="8" t="s">
        <v>0</v>
      </c>
    </row>
    <row r="46" spans="1:34" ht="45">
      <c r="A46" s="2" t="s">
        <v>121</v>
      </c>
      <c r="B46" s="2">
        <v>3</v>
      </c>
      <c r="C46" s="2" t="s">
        <v>898</v>
      </c>
      <c r="D46" s="2" t="s">
        <v>730</v>
      </c>
      <c r="E46" s="2" t="s">
        <v>267</v>
      </c>
      <c r="F46" s="2" t="s">
        <v>266</v>
      </c>
      <c r="G46" s="2" t="s">
        <v>0</v>
      </c>
      <c r="H46" s="2" t="s">
        <v>827</v>
      </c>
      <c r="I46" s="2" t="s">
        <v>732</v>
      </c>
      <c r="J46" s="2" t="s">
        <v>828</v>
      </c>
      <c r="K46" s="2" t="s">
        <v>829</v>
      </c>
      <c r="L46" s="2" t="s">
        <v>27</v>
      </c>
      <c r="M46" s="2" t="s">
        <v>30</v>
      </c>
      <c r="N46" s="2" t="s">
        <v>29</v>
      </c>
      <c r="O46" s="2" t="s">
        <v>268</v>
      </c>
      <c r="P46" s="2" t="s">
        <v>97</v>
      </c>
      <c r="Q46" s="2" t="s">
        <v>773</v>
      </c>
      <c r="R46" s="2" t="s">
        <v>774</v>
      </c>
      <c r="S46" s="2" t="s">
        <v>0</v>
      </c>
      <c r="T46" s="2" t="s">
        <v>0</v>
      </c>
      <c r="U46" s="2" t="s">
        <v>0</v>
      </c>
      <c r="V46" s="2" t="s">
        <v>0</v>
      </c>
      <c r="W46" s="2" t="s">
        <v>0</v>
      </c>
      <c r="X46" s="8" t="s">
        <v>0</v>
      </c>
      <c r="Y46" s="8" t="s">
        <v>0</v>
      </c>
      <c r="Z46" s="8" t="s">
        <v>0</v>
      </c>
      <c r="AA46" s="8" t="s">
        <v>0</v>
      </c>
      <c r="AB46" s="8" t="s">
        <v>0</v>
      </c>
      <c r="AC46" s="8" t="s">
        <v>0</v>
      </c>
      <c r="AD46" s="8" t="s">
        <v>0</v>
      </c>
      <c r="AE46" s="8" t="s">
        <v>0</v>
      </c>
      <c r="AF46" s="8" t="s">
        <v>0</v>
      </c>
      <c r="AG46" s="8" t="s">
        <v>0</v>
      </c>
      <c r="AH46" s="8" t="s">
        <v>0</v>
      </c>
    </row>
    <row r="47" spans="1:34" ht="45">
      <c r="A47" s="2" t="s">
        <v>121</v>
      </c>
      <c r="B47" s="2">
        <v>3</v>
      </c>
      <c r="C47" s="2" t="s">
        <v>898</v>
      </c>
      <c r="D47" s="2" t="s">
        <v>730</v>
      </c>
      <c r="E47" s="2" t="s">
        <v>272</v>
      </c>
      <c r="F47" s="2" t="s">
        <v>271</v>
      </c>
      <c r="G47" s="2" t="s">
        <v>0</v>
      </c>
      <c r="H47" s="2" t="s">
        <v>827</v>
      </c>
      <c r="I47" s="2" t="s">
        <v>732</v>
      </c>
      <c r="J47" s="2" t="s">
        <v>828</v>
      </c>
      <c r="K47" s="2" t="s">
        <v>829</v>
      </c>
      <c r="L47" s="2" t="s">
        <v>27</v>
      </c>
      <c r="M47" s="2" t="s">
        <v>30</v>
      </c>
      <c r="N47" s="2" t="s">
        <v>29</v>
      </c>
      <c r="O47" s="2" t="s">
        <v>273</v>
      </c>
      <c r="P47" s="2" t="s">
        <v>97</v>
      </c>
      <c r="Q47" s="2" t="s">
        <v>811</v>
      </c>
      <c r="R47" s="2" t="s">
        <v>812</v>
      </c>
      <c r="S47" s="2" t="s">
        <v>0</v>
      </c>
      <c r="T47" s="2" t="s">
        <v>0</v>
      </c>
      <c r="U47" s="2" t="s">
        <v>0</v>
      </c>
      <c r="V47" s="2" t="s">
        <v>0</v>
      </c>
      <c r="W47" s="2" t="s">
        <v>0</v>
      </c>
      <c r="X47" s="8" t="s">
        <v>0</v>
      </c>
      <c r="Y47" s="8" t="s">
        <v>0</v>
      </c>
      <c r="Z47" s="8" t="s">
        <v>0</v>
      </c>
      <c r="AA47" s="8" t="s">
        <v>0</v>
      </c>
      <c r="AB47" s="8" t="s">
        <v>0</v>
      </c>
      <c r="AC47" s="8" t="s">
        <v>0</v>
      </c>
      <c r="AD47" s="8" t="s">
        <v>0</v>
      </c>
      <c r="AE47" s="8" t="s">
        <v>0</v>
      </c>
      <c r="AF47" s="8" t="s">
        <v>0</v>
      </c>
      <c r="AG47" s="8" t="s">
        <v>0</v>
      </c>
      <c r="AH47" s="8" t="s">
        <v>0</v>
      </c>
    </row>
    <row r="48" spans="1:34" ht="45">
      <c r="A48" s="2" t="s">
        <v>121</v>
      </c>
      <c r="B48" s="2">
        <v>3</v>
      </c>
      <c r="C48" s="2" t="s">
        <v>898</v>
      </c>
      <c r="D48" s="2" t="s">
        <v>730</v>
      </c>
      <c r="E48" s="2" t="s">
        <v>280</v>
      </c>
      <c r="F48" s="2" t="s">
        <v>279</v>
      </c>
      <c r="G48" s="2" t="s">
        <v>0</v>
      </c>
      <c r="H48" s="2" t="s">
        <v>827</v>
      </c>
      <c r="I48" s="2" t="s">
        <v>732</v>
      </c>
      <c r="J48" s="2" t="s">
        <v>828</v>
      </c>
      <c r="K48" s="2" t="s">
        <v>829</v>
      </c>
      <c r="L48" s="2" t="s">
        <v>27</v>
      </c>
      <c r="M48" s="2" t="s">
        <v>30</v>
      </c>
      <c r="N48" s="2" t="s">
        <v>29</v>
      </c>
      <c r="O48" s="2" t="s">
        <v>281</v>
      </c>
      <c r="P48" s="2" t="s">
        <v>97</v>
      </c>
      <c r="Q48" s="2" t="s">
        <v>813</v>
      </c>
      <c r="R48" s="2" t="s">
        <v>814</v>
      </c>
      <c r="S48" s="2" t="s">
        <v>0</v>
      </c>
      <c r="T48" s="2" t="s">
        <v>0</v>
      </c>
      <c r="U48" s="2" t="s">
        <v>0</v>
      </c>
      <c r="V48" s="2" t="s">
        <v>0</v>
      </c>
      <c r="W48" s="2" t="s">
        <v>0</v>
      </c>
      <c r="X48" s="8" t="s">
        <v>0</v>
      </c>
      <c r="Y48" s="8" t="s">
        <v>0</v>
      </c>
      <c r="Z48" s="8" t="s">
        <v>0</v>
      </c>
      <c r="AA48" s="8" t="s">
        <v>0</v>
      </c>
      <c r="AB48" s="8" t="s">
        <v>0</v>
      </c>
      <c r="AC48" s="8" t="s">
        <v>0</v>
      </c>
      <c r="AD48" s="8" t="s">
        <v>0</v>
      </c>
      <c r="AE48" s="8" t="s">
        <v>0</v>
      </c>
      <c r="AF48" s="8" t="s">
        <v>0</v>
      </c>
      <c r="AG48" s="8" t="s">
        <v>0</v>
      </c>
      <c r="AH48" s="8" t="s">
        <v>0</v>
      </c>
    </row>
    <row r="49" spans="1:34" ht="45">
      <c r="A49" s="2" t="s">
        <v>121</v>
      </c>
      <c r="B49" s="2">
        <v>3</v>
      </c>
      <c r="C49" s="2" t="s">
        <v>898</v>
      </c>
      <c r="D49" s="2" t="s">
        <v>730</v>
      </c>
      <c r="E49" s="2" t="s">
        <v>286</v>
      </c>
      <c r="F49" s="2" t="s">
        <v>285</v>
      </c>
      <c r="G49" s="2" t="s">
        <v>0</v>
      </c>
      <c r="H49" s="2" t="s">
        <v>827</v>
      </c>
      <c r="I49" s="2" t="s">
        <v>732</v>
      </c>
      <c r="J49" s="2" t="s">
        <v>828</v>
      </c>
      <c r="K49" s="2" t="s">
        <v>829</v>
      </c>
      <c r="L49" s="2" t="s">
        <v>27</v>
      </c>
      <c r="M49" s="2" t="s">
        <v>30</v>
      </c>
      <c r="N49" s="2" t="s">
        <v>29</v>
      </c>
      <c r="O49" s="2" t="s">
        <v>287</v>
      </c>
      <c r="P49" s="2" t="s">
        <v>97</v>
      </c>
      <c r="Q49" s="2" t="s">
        <v>815</v>
      </c>
      <c r="R49" s="2" t="s">
        <v>816</v>
      </c>
      <c r="S49" s="2" t="s">
        <v>0</v>
      </c>
      <c r="T49" s="2" t="s">
        <v>0</v>
      </c>
      <c r="U49" s="2" t="s">
        <v>0</v>
      </c>
      <c r="V49" s="2" t="s">
        <v>0</v>
      </c>
      <c r="W49" s="2" t="s">
        <v>0</v>
      </c>
      <c r="X49" s="8" t="s">
        <v>0</v>
      </c>
      <c r="Y49" s="8" t="s">
        <v>0</v>
      </c>
      <c r="Z49" s="8" t="s">
        <v>0</v>
      </c>
      <c r="AA49" s="8" t="s">
        <v>0</v>
      </c>
      <c r="AB49" s="8" t="s">
        <v>0</v>
      </c>
      <c r="AC49" s="8" t="s">
        <v>0</v>
      </c>
      <c r="AD49" s="8" t="s">
        <v>0</v>
      </c>
      <c r="AE49" s="8" t="s">
        <v>0</v>
      </c>
      <c r="AF49" s="8" t="s">
        <v>0</v>
      </c>
      <c r="AG49" s="8" t="s">
        <v>0</v>
      </c>
      <c r="AH49" s="8" t="s">
        <v>0</v>
      </c>
    </row>
    <row r="50" spans="1:34" ht="45">
      <c r="A50" s="2" t="s">
        <v>121</v>
      </c>
      <c r="B50" s="2">
        <v>3</v>
      </c>
      <c r="C50" s="2" t="s">
        <v>898</v>
      </c>
      <c r="D50" s="2" t="s">
        <v>730</v>
      </c>
      <c r="E50" s="2" t="s">
        <v>293</v>
      </c>
      <c r="F50" s="2" t="s">
        <v>292</v>
      </c>
      <c r="G50" s="2" t="s">
        <v>0</v>
      </c>
      <c r="H50" s="2" t="s">
        <v>827</v>
      </c>
      <c r="I50" s="2" t="s">
        <v>732</v>
      </c>
      <c r="J50" s="2" t="s">
        <v>828</v>
      </c>
      <c r="K50" s="2" t="s">
        <v>829</v>
      </c>
      <c r="L50" s="2" t="s">
        <v>27</v>
      </c>
      <c r="M50" s="2" t="s">
        <v>30</v>
      </c>
      <c r="N50" s="2" t="s">
        <v>29</v>
      </c>
      <c r="O50" s="2" t="s">
        <v>294</v>
      </c>
      <c r="P50" s="2" t="s">
        <v>97</v>
      </c>
      <c r="Q50" s="2" t="s">
        <v>775</v>
      </c>
      <c r="R50" s="2" t="s">
        <v>776</v>
      </c>
      <c r="S50" s="2" t="s">
        <v>0</v>
      </c>
      <c r="T50" s="2" t="s">
        <v>0</v>
      </c>
      <c r="U50" s="2" t="s">
        <v>0</v>
      </c>
      <c r="V50" s="2" t="s">
        <v>0</v>
      </c>
      <c r="W50" s="2" t="s">
        <v>0</v>
      </c>
      <c r="X50" s="8" t="s">
        <v>0</v>
      </c>
      <c r="Y50" s="8" t="s">
        <v>0</v>
      </c>
      <c r="Z50" s="8" t="s">
        <v>0</v>
      </c>
      <c r="AA50" s="8" t="s">
        <v>0</v>
      </c>
      <c r="AB50" s="8" t="s">
        <v>0</v>
      </c>
      <c r="AC50" s="8" t="s">
        <v>0</v>
      </c>
      <c r="AD50" s="8" t="s">
        <v>0</v>
      </c>
      <c r="AE50" s="8" t="s">
        <v>0</v>
      </c>
      <c r="AF50" s="8" t="s">
        <v>0</v>
      </c>
      <c r="AG50" s="8" t="s">
        <v>0</v>
      </c>
      <c r="AH50" s="8" t="s">
        <v>0</v>
      </c>
    </row>
    <row r="51" spans="1:34" ht="45">
      <c r="A51" s="2" t="s">
        <v>121</v>
      </c>
      <c r="B51" s="2">
        <v>3</v>
      </c>
      <c r="C51" s="2" t="s">
        <v>898</v>
      </c>
      <c r="D51" s="2" t="s">
        <v>730</v>
      </c>
      <c r="E51" s="2" t="s">
        <v>299</v>
      </c>
      <c r="F51" s="2" t="s">
        <v>298</v>
      </c>
      <c r="G51" s="2" t="s">
        <v>0</v>
      </c>
      <c r="H51" s="2" t="s">
        <v>827</v>
      </c>
      <c r="I51" s="2" t="s">
        <v>732</v>
      </c>
      <c r="J51" s="2" t="s">
        <v>828</v>
      </c>
      <c r="K51" s="2" t="s">
        <v>829</v>
      </c>
      <c r="L51" s="2" t="s">
        <v>27</v>
      </c>
      <c r="M51" s="2" t="s">
        <v>30</v>
      </c>
      <c r="N51" s="2" t="s">
        <v>29</v>
      </c>
      <c r="O51" s="2" t="s">
        <v>300</v>
      </c>
      <c r="P51" s="2" t="s">
        <v>97</v>
      </c>
      <c r="Q51" s="2" t="s">
        <v>817</v>
      </c>
      <c r="R51" s="2" t="s">
        <v>818</v>
      </c>
      <c r="S51" s="2" t="s">
        <v>0</v>
      </c>
      <c r="T51" s="2" t="s">
        <v>0</v>
      </c>
      <c r="U51" s="2" t="s">
        <v>0</v>
      </c>
      <c r="V51" s="2" t="s">
        <v>0</v>
      </c>
      <c r="W51" s="2" t="s">
        <v>0</v>
      </c>
      <c r="X51" s="8" t="s">
        <v>0</v>
      </c>
      <c r="Y51" s="8" t="s">
        <v>0</v>
      </c>
      <c r="Z51" s="8" t="s">
        <v>0</v>
      </c>
      <c r="AA51" s="8" t="s">
        <v>0</v>
      </c>
      <c r="AB51" s="8" t="s">
        <v>0</v>
      </c>
      <c r="AC51" s="8" t="s">
        <v>0</v>
      </c>
      <c r="AD51" s="8" t="s">
        <v>0</v>
      </c>
      <c r="AE51" s="8" t="s">
        <v>0</v>
      </c>
      <c r="AF51" s="8" t="s">
        <v>0</v>
      </c>
      <c r="AG51" s="8" t="s">
        <v>0</v>
      </c>
      <c r="AH51" s="8" t="s">
        <v>0</v>
      </c>
    </row>
    <row r="52" spans="1:34" ht="45">
      <c r="A52" s="2" t="s">
        <v>92</v>
      </c>
      <c r="B52" s="2">
        <v>3</v>
      </c>
      <c r="C52" s="2" t="s">
        <v>898</v>
      </c>
      <c r="D52" s="2" t="s">
        <v>730</v>
      </c>
      <c r="E52" s="2" t="s">
        <v>306</v>
      </c>
      <c r="F52" s="2" t="s">
        <v>305</v>
      </c>
      <c r="G52" s="2" t="s">
        <v>0</v>
      </c>
      <c r="H52" s="2" t="s">
        <v>827</v>
      </c>
      <c r="I52" s="2" t="s">
        <v>732</v>
      </c>
      <c r="J52" s="2" t="s">
        <v>828</v>
      </c>
      <c r="K52" s="2" t="s">
        <v>829</v>
      </c>
      <c r="L52" s="2" t="s">
        <v>27</v>
      </c>
      <c r="M52" s="2" t="s">
        <v>30</v>
      </c>
      <c r="N52" s="2" t="s">
        <v>29</v>
      </c>
      <c r="O52" s="2" t="s">
        <v>307</v>
      </c>
      <c r="P52" s="2" t="s">
        <v>97</v>
      </c>
      <c r="Q52" s="2" t="s">
        <v>777</v>
      </c>
      <c r="R52" s="2" t="s">
        <v>778</v>
      </c>
      <c r="S52" s="2" t="s">
        <v>0</v>
      </c>
      <c r="T52" s="2" t="s">
        <v>0</v>
      </c>
      <c r="U52" s="2" t="s">
        <v>0</v>
      </c>
      <c r="V52" s="2" t="s">
        <v>0</v>
      </c>
      <c r="W52" s="2" t="s">
        <v>0</v>
      </c>
      <c r="X52" s="8" t="s">
        <v>0</v>
      </c>
      <c r="Y52" s="8" t="s">
        <v>0</v>
      </c>
      <c r="Z52" s="8" t="s">
        <v>0</v>
      </c>
      <c r="AA52" s="8" t="s">
        <v>0</v>
      </c>
      <c r="AB52" s="8" t="s">
        <v>0</v>
      </c>
      <c r="AC52" s="8" t="s">
        <v>0</v>
      </c>
      <c r="AD52" s="8" t="s">
        <v>0</v>
      </c>
      <c r="AE52" s="8" t="s">
        <v>0</v>
      </c>
      <c r="AF52" s="8" t="s">
        <v>0</v>
      </c>
      <c r="AG52" s="8" t="s">
        <v>0</v>
      </c>
      <c r="AH52" s="8" t="s">
        <v>0</v>
      </c>
    </row>
    <row r="53" spans="1:34" ht="45">
      <c r="A53" s="2" t="s">
        <v>92</v>
      </c>
      <c r="B53" s="2">
        <v>3</v>
      </c>
      <c r="C53" s="2" t="s">
        <v>898</v>
      </c>
      <c r="D53" s="2" t="s">
        <v>730</v>
      </c>
      <c r="E53" s="2" t="s">
        <v>312</v>
      </c>
      <c r="F53" s="2" t="s">
        <v>311</v>
      </c>
      <c r="G53" s="2" t="s">
        <v>0</v>
      </c>
      <c r="H53" s="2" t="s">
        <v>827</v>
      </c>
      <c r="I53" s="2" t="s">
        <v>732</v>
      </c>
      <c r="J53" s="2" t="s">
        <v>828</v>
      </c>
      <c r="K53" s="2" t="s">
        <v>829</v>
      </c>
      <c r="L53" s="2" t="s">
        <v>27</v>
      </c>
      <c r="M53" s="2" t="s">
        <v>30</v>
      </c>
      <c r="N53" s="2" t="s">
        <v>29</v>
      </c>
      <c r="O53" s="2" t="s">
        <v>313</v>
      </c>
      <c r="P53" s="2" t="s">
        <v>97</v>
      </c>
      <c r="Q53" s="2" t="s">
        <v>819</v>
      </c>
      <c r="R53" s="2" t="s">
        <v>820</v>
      </c>
      <c r="S53" s="2" t="s">
        <v>0</v>
      </c>
      <c r="T53" s="2" t="s">
        <v>0</v>
      </c>
      <c r="U53" s="2" t="s">
        <v>0</v>
      </c>
      <c r="V53" s="2" t="s">
        <v>0</v>
      </c>
      <c r="W53" s="2" t="s">
        <v>0</v>
      </c>
      <c r="X53" s="8" t="s">
        <v>0</v>
      </c>
      <c r="Y53" s="8" t="s">
        <v>0</v>
      </c>
      <c r="Z53" s="8" t="s">
        <v>0</v>
      </c>
      <c r="AA53" s="8" t="s">
        <v>0</v>
      </c>
      <c r="AB53" s="8" t="s">
        <v>0</v>
      </c>
      <c r="AC53" s="8" t="s">
        <v>0</v>
      </c>
      <c r="AD53" s="8" t="s">
        <v>0</v>
      </c>
      <c r="AE53" s="8" t="s">
        <v>0</v>
      </c>
      <c r="AF53" s="8" t="s">
        <v>0</v>
      </c>
      <c r="AG53" s="8" t="s">
        <v>0</v>
      </c>
      <c r="AH53" s="8" t="s">
        <v>0</v>
      </c>
    </row>
    <row r="54" spans="1:34" ht="45">
      <c r="A54" s="2" t="s">
        <v>121</v>
      </c>
      <c r="B54" s="2">
        <v>3</v>
      </c>
      <c r="C54" s="2" t="s">
        <v>898</v>
      </c>
      <c r="D54" s="2" t="s">
        <v>730</v>
      </c>
      <c r="E54" s="2" t="s">
        <v>316</v>
      </c>
      <c r="F54" s="2" t="s">
        <v>315</v>
      </c>
      <c r="G54" s="2" t="s">
        <v>0</v>
      </c>
      <c r="H54" s="2" t="s">
        <v>827</v>
      </c>
      <c r="I54" s="2" t="s">
        <v>732</v>
      </c>
      <c r="J54" s="2" t="s">
        <v>828</v>
      </c>
      <c r="K54" s="2" t="s">
        <v>829</v>
      </c>
      <c r="L54" s="2" t="s">
        <v>27</v>
      </c>
      <c r="M54" s="2" t="s">
        <v>30</v>
      </c>
      <c r="N54" s="2" t="s">
        <v>29</v>
      </c>
      <c r="O54" s="2" t="s">
        <v>317</v>
      </c>
      <c r="P54" s="2" t="s">
        <v>97</v>
      </c>
      <c r="Q54" s="2" t="s">
        <v>821</v>
      </c>
      <c r="R54" s="2" t="s">
        <v>822</v>
      </c>
      <c r="S54" s="2" t="s">
        <v>0</v>
      </c>
      <c r="T54" s="2" t="s">
        <v>0</v>
      </c>
      <c r="U54" s="2" t="s">
        <v>0</v>
      </c>
      <c r="V54" s="2" t="s">
        <v>0</v>
      </c>
      <c r="W54" s="2" t="s">
        <v>0</v>
      </c>
      <c r="X54" s="8" t="s">
        <v>0</v>
      </c>
      <c r="Y54" s="8" t="s">
        <v>0</v>
      </c>
      <c r="Z54" s="8" t="s">
        <v>0</v>
      </c>
      <c r="AA54" s="8" t="s">
        <v>0</v>
      </c>
      <c r="AB54" s="8" t="s">
        <v>0</v>
      </c>
      <c r="AC54" s="8" t="s">
        <v>0</v>
      </c>
      <c r="AD54" s="8" t="s">
        <v>0</v>
      </c>
      <c r="AE54" s="8" t="s">
        <v>0</v>
      </c>
      <c r="AF54" s="8" t="s">
        <v>0</v>
      </c>
      <c r="AG54" s="8" t="s">
        <v>0</v>
      </c>
      <c r="AH54" s="8" t="s">
        <v>0</v>
      </c>
    </row>
    <row r="55" spans="1:34" ht="45">
      <c r="A55" s="2" t="s">
        <v>121</v>
      </c>
      <c r="B55" s="2">
        <v>3</v>
      </c>
      <c r="C55" s="2" t="s">
        <v>898</v>
      </c>
      <c r="D55" s="2" t="s">
        <v>730</v>
      </c>
      <c r="E55" s="2" t="s">
        <v>324</v>
      </c>
      <c r="F55" s="2" t="s">
        <v>323</v>
      </c>
      <c r="G55" s="2" t="s">
        <v>0</v>
      </c>
      <c r="H55" s="2" t="s">
        <v>827</v>
      </c>
      <c r="I55" s="2" t="s">
        <v>732</v>
      </c>
      <c r="J55" s="2" t="s">
        <v>828</v>
      </c>
      <c r="K55" s="2" t="s">
        <v>829</v>
      </c>
      <c r="L55" s="2" t="s">
        <v>27</v>
      </c>
      <c r="M55" s="2" t="s">
        <v>30</v>
      </c>
      <c r="N55" s="2" t="s">
        <v>29</v>
      </c>
      <c r="O55" s="2" t="s">
        <v>325</v>
      </c>
      <c r="P55" s="2" t="s">
        <v>97</v>
      </c>
      <c r="Q55" s="2" t="s">
        <v>763</v>
      </c>
      <c r="R55" s="2" t="s">
        <v>764</v>
      </c>
      <c r="S55" s="2" t="s">
        <v>0</v>
      </c>
      <c r="T55" s="2" t="s">
        <v>0</v>
      </c>
      <c r="U55" s="2" t="s">
        <v>0</v>
      </c>
      <c r="V55" s="2" t="s">
        <v>0</v>
      </c>
      <c r="W55" s="2" t="s">
        <v>0</v>
      </c>
      <c r="X55" s="8" t="s">
        <v>0</v>
      </c>
      <c r="Y55" s="8" t="s">
        <v>0</v>
      </c>
      <c r="Z55" s="8" t="s">
        <v>0</v>
      </c>
      <c r="AA55" s="8" t="s">
        <v>0</v>
      </c>
      <c r="AB55" s="8" t="s">
        <v>0</v>
      </c>
      <c r="AC55" s="8" t="s">
        <v>0</v>
      </c>
      <c r="AD55" s="8" t="s">
        <v>0</v>
      </c>
      <c r="AE55" s="8" t="s">
        <v>0</v>
      </c>
      <c r="AF55" s="8" t="s">
        <v>0</v>
      </c>
      <c r="AG55" s="8" t="s">
        <v>0</v>
      </c>
      <c r="AH55" s="8" t="s">
        <v>0</v>
      </c>
    </row>
    <row r="56" spans="1:34" ht="33.75">
      <c r="A56" s="2" t="s">
        <v>92</v>
      </c>
      <c r="B56" s="2">
        <v>3</v>
      </c>
      <c r="C56" s="2" t="s">
        <v>899</v>
      </c>
      <c r="D56" s="2" t="s">
        <v>730</v>
      </c>
      <c r="E56" s="2" t="s">
        <v>95</v>
      </c>
      <c r="F56" s="2" t="s">
        <v>94</v>
      </c>
      <c r="G56" s="2" t="s">
        <v>0</v>
      </c>
      <c r="H56" s="2" t="s">
        <v>831</v>
      </c>
      <c r="I56" s="2" t="s">
        <v>732</v>
      </c>
      <c r="J56" s="2" t="s">
        <v>832</v>
      </c>
      <c r="K56" s="2" t="s">
        <v>833</v>
      </c>
      <c r="L56" s="2" t="s">
        <v>27</v>
      </c>
      <c r="M56" s="2" t="s">
        <v>30</v>
      </c>
      <c r="N56" s="2" t="s">
        <v>29</v>
      </c>
      <c r="O56" s="2" t="s">
        <v>96</v>
      </c>
      <c r="P56" s="2" t="s">
        <v>97</v>
      </c>
      <c r="Q56" s="2" t="s">
        <v>741</v>
      </c>
      <c r="R56" s="2" t="s">
        <v>742</v>
      </c>
      <c r="S56" s="2" t="s">
        <v>0</v>
      </c>
      <c r="T56" s="2" t="s">
        <v>0</v>
      </c>
      <c r="U56" s="2" t="s">
        <v>0</v>
      </c>
      <c r="V56" s="2" t="s">
        <v>0</v>
      </c>
      <c r="W56" s="2" t="s">
        <v>0</v>
      </c>
      <c r="X56" s="8" t="s">
        <v>0</v>
      </c>
      <c r="Y56" s="8" t="s">
        <v>0</v>
      </c>
      <c r="Z56" s="8" t="s">
        <v>0</v>
      </c>
      <c r="AA56" s="8" t="s">
        <v>0</v>
      </c>
      <c r="AB56" s="8" t="s">
        <v>0</v>
      </c>
      <c r="AC56" s="8" t="s">
        <v>0</v>
      </c>
      <c r="AD56" s="8" t="s">
        <v>0</v>
      </c>
      <c r="AE56" s="8" t="s">
        <v>0</v>
      </c>
      <c r="AF56" s="8" t="s">
        <v>0</v>
      </c>
      <c r="AG56" s="8" t="s">
        <v>0</v>
      </c>
      <c r="AH56" s="8" t="s">
        <v>0</v>
      </c>
    </row>
    <row r="57" spans="1:34" ht="33.75">
      <c r="A57" s="2" t="s">
        <v>92</v>
      </c>
      <c r="B57" s="2">
        <v>3</v>
      </c>
      <c r="C57" s="2" t="s">
        <v>899</v>
      </c>
      <c r="D57" s="2" t="s">
        <v>730</v>
      </c>
      <c r="E57" s="2" t="s">
        <v>108</v>
      </c>
      <c r="F57" s="2" t="s">
        <v>107</v>
      </c>
      <c r="G57" s="2" t="s">
        <v>0</v>
      </c>
      <c r="H57" s="2" t="s">
        <v>831</v>
      </c>
      <c r="I57" s="2" t="s">
        <v>732</v>
      </c>
      <c r="J57" s="2" t="s">
        <v>832</v>
      </c>
      <c r="K57" s="2" t="s">
        <v>833</v>
      </c>
      <c r="L57" s="2" t="s">
        <v>27</v>
      </c>
      <c r="M57" s="2" t="s">
        <v>30</v>
      </c>
      <c r="N57" s="2" t="s">
        <v>29</v>
      </c>
      <c r="O57" s="2" t="s">
        <v>109</v>
      </c>
      <c r="P57" s="2" t="s">
        <v>97</v>
      </c>
      <c r="Q57" s="2" t="s">
        <v>743</v>
      </c>
      <c r="R57" s="2" t="s">
        <v>744</v>
      </c>
      <c r="S57" s="2" t="s">
        <v>0</v>
      </c>
      <c r="T57" s="2" t="s">
        <v>0</v>
      </c>
      <c r="U57" s="2" t="s">
        <v>0</v>
      </c>
      <c r="V57" s="2" t="s">
        <v>0</v>
      </c>
      <c r="W57" s="2" t="s">
        <v>0</v>
      </c>
      <c r="X57" s="8" t="s">
        <v>0</v>
      </c>
      <c r="Y57" s="8" t="s">
        <v>0</v>
      </c>
      <c r="Z57" s="8" t="s">
        <v>0</v>
      </c>
      <c r="AA57" s="8" t="s">
        <v>0</v>
      </c>
      <c r="AB57" s="8" t="s">
        <v>0</v>
      </c>
      <c r="AC57" s="8" t="s">
        <v>0</v>
      </c>
      <c r="AD57" s="8" t="s">
        <v>0</v>
      </c>
      <c r="AE57" s="8" t="s">
        <v>0</v>
      </c>
      <c r="AF57" s="8" t="s">
        <v>0</v>
      </c>
      <c r="AG57" s="8" t="s">
        <v>0</v>
      </c>
      <c r="AH57" s="8" t="s">
        <v>0</v>
      </c>
    </row>
    <row r="58" spans="1:34" ht="33.75">
      <c r="A58" s="2" t="s">
        <v>92</v>
      </c>
      <c r="B58" s="2">
        <v>3</v>
      </c>
      <c r="C58" s="2" t="s">
        <v>899</v>
      </c>
      <c r="D58" s="2" t="s">
        <v>730</v>
      </c>
      <c r="E58" s="2" t="s">
        <v>115</v>
      </c>
      <c r="F58" s="2" t="s">
        <v>114</v>
      </c>
      <c r="G58" s="2" t="s">
        <v>0</v>
      </c>
      <c r="H58" s="2" t="s">
        <v>831</v>
      </c>
      <c r="I58" s="2" t="s">
        <v>732</v>
      </c>
      <c r="J58" s="2" t="s">
        <v>832</v>
      </c>
      <c r="K58" s="2" t="s">
        <v>833</v>
      </c>
      <c r="L58" s="2" t="s">
        <v>27</v>
      </c>
      <c r="M58" s="2" t="s">
        <v>30</v>
      </c>
      <c r="N58" s="2" t="s">
        <v>29</v>
      </c>
      <c r="O58" s="2" t="s">
        <v>116</v>
      </c>
      <c r="P58" s="2" t="s">
        <v>97</v>
      </c>
      <c r="Q58" s="2" t="s">
        <v>745</v>
      </c>
      <c r="R58" s="2" t="s">
        <v>746</v>
      </c>
      <c r="S58" s="2" t="s">
        <v>0</v>
      </c>
      <c r="T58" s="2" t="s">
        <v>0</v>
      </c>
      <c r="U58" s="2" t="s">
        <v>0</v>
      </c>
      <c r="V58" s="2" t="s">
        <v>0</v>
      </c>
      <c r="W58" s="2" t="s">
        <v>0</v>
      </c>
      <c r="X58" s="8" t="s">
        <v>0</v>
      </c>
      <c r="Y58" s="8" t="s">
        <v>0</v>
      </c>
      <c r="Z58" s="8" t="s">
        <v>0</v>
      </c>
      <c r="AA58" s="8" t="s">
        <v>0</v>
      </c>
      <c r="AB58" s="8" t="s">
        <v>0</v>
      </c>
      <c r="AC58" s="8" t="s">
        <v>0</v>
      </c>
      <c r="AD58" s="8" t="s">
        <v>0</v>
      </c>
      <c r="AE58" s="8" t="s">
        <v>0</v>
      </c>
      <c r="AF58" s="8" t="s">
        <v>0</v>
      </c>
      <c r="AG58" s="8" t="s">
        <v>0</v>
      </c>
      <c r="AH58" s="8" t="s">
        <v>0</v>
      </c>
    </row>
    <row r="59" spans="1:34" ht="33.75">
      <c r="A59" s="2" t="s">
        <v>121</v>
      </c>
      <c r="B59" s="2">
        <v>3</v>
      </c>
      <c r="C59" s="2" t="s">
        <v>899</v>
      </c>
      <c r="D59" s="2" t="s">
        <v>730</v>
      </c>
      <c r="E59" s="2" t="s">
        <v>123</v>
      </c>
      <c r="F59" s="2" t="s">
        <v>122</v>
      </c>
      <c r="G59" s="2" t="s">
        <v>0</v>
      </c>
      <c r="H59" s="2" t="s">
        <v>831</v>
      </c>
      <c r="I59" s="2" t="s">
        <v>732</v>
      </c>
      <c r="J59" s="2" t="s">
        <v>832</v>
      </c>
      <c r="K59" s="2" t="s">
        <v>833</v>
      </c>
      <c r="L59" s="2" t="s">
        <v>27</v>
      </c>
      <c r="M59" s="2" t="s">
        <v>30</v>
      </c>
      <c r="N59" s="2" t="s">
        <v>29</v>
      </c>
      <c r="O59" s="2" t="s">
        <v>124</v>
      </c>
      <c r="P59" s="2" t="s">
        <v>97</v>
      </c>
      <c r="Q59" s="2" t="s">
        <v>783</v>
      </c>
      <c r="R59" s="2" t="s">
        <v>784</v>
      </c>
      <c r="S59" s="2" t="s">
        <v>0</v>
      </c>
      <c r="T59" s="2" t="s">
        <v>0</v>
      </c>
      <c r="U59" s="2" t="s">
        <v>0</v>
      </c>
      <c r="V59" s="2" t="s">
        <v>0</v>
      </c>
      <c r="W59" s="2" t="s">
        <v>0</v>
      </c>
      <c r="X59" s="8" t="s">
        <v>0</v>
      </c>
      <c r="Y59" s="8" t="s">
        <v>0</v>
      </c>
      <c r="Z59" s="8" t="s">
        <v>0</v>
      </c>
      <c r="AA59" s="8" t="s">
        <v>0</v>
      </c>
      <c r="AB59" s="8" t="s">
        <v>0</v>
      </c>
      <c r="AC59" s="8" t="s">
        <v>0</v>
      </c>
      <c r="AD59" s="8" t="s">
        <v>0</v>
      </c>
      <c r="AE59" s="8" t="s">
        <v>0</v>
      </c>
      <c r="AF59" s="8" t="s">
        <v>0</v>
      </c>
      <c r="AG59" s="8" t="s">
        <v>0</v>
      </c>
      <c r="AH59" s="8" t="s">
        <v>0</v>
      </c>
    </row>
    <row r="60" spans="1:34" ht="33.75">
      <c r="A60" s="2" t="s">
        <v>121</v>
      </c>
      <c r="B60" s="2">
        <v>3</v>
      </c>
      <c r="C60" s="2" t="s">
        <v>899</v>
      </c>
      <c r="D60" s="2" t="s">
        <v>730</v>
      </c>
      <c r="E60" s="2" t="s">
        <v>137</v>
      </c>
      <c r="F60" s="2" t="s">
        <v>136</v>
      </c>
      <c r="G60" s="2" t="s">
        <v>0</v>
      </c>
      <c r="H60" s="2" t="s">
        <v>831</v>
      </c>
      <c r="I60" s="2" t="s">
        <v>732</v>
      </c>
      <c r="J60" s="2" t="s">
        <v>832</v>
      </c>
      <c r="K60" s="2" t="s">
        <v>833</v>
      </c>
      <c r="L60" s="2" t="s">
        <v>27</v>
      </c>
      <c r="M60" s="2" t="s">
        <v>30</v>
      </c>
      <c r="N60" s="2" t="s">
        <v>29</v>
      </c>
      <c r="O60" s="2" t="s">
        <v>138</v>
      </c>
      <c r="P60" s="2" t="s">
        <v>97</v>
      </c>
      <c r="Q60" s="2" t="s">
        <v>787</v>
      </c>
      <c r="R60" s="2" t="s">
        <v>788</v>
      </c>
      <c r="S60" s="2" t="s">
        <v>0</v>
      </c>
      <c r="T60" s="2" t="s">
        <v>0</v>
      </c>
      <c r="U60" s="2" t="s">
        <v>0</v>
      </c>
      <c r="V60" s="2" t="s">
        <v>0</v>
      </c>
      <c r="W60" s="2" t="s">
        <v>0</v>
      </c>
      <c r="X60" s="8" t="s">
        <v>0</v>
      </c>
      <c r="Y60" s="8" t="s">
        <v>0</v>
      </c>
      <c r="Z60" s="8" t="s">
        <v>0</v>
      </c>
      <c r="AA60" s="8" t="s">
        <v>0</v>
      </c>
      <c r="AB60" s="8" t="s">
        <v>0</v>
      </c>
      <c r="AC60" s="8" t="s">
        <v>0</v>
      </c>
      <c r="AD60" s="8" t="s">
        <v>0</v>
      </c>
      <c r="AE60" s="8" t="s">
        <v>0</v>
      </c>
      <c r="AF60" s="8" t="s">
        <v>0</v>
      </c>
      <c r="AG60" s="8" t="s">
        <v>0</v>
      </c>
      <c r="AH60" s="8" t="s">
        <v>0</v>
      </c>
    </row>
    <row r="61" spans="1:34" ht="33.75">
      <c r="A61" s="2" t="s">
        <v>121</v>
      </c>
      <c r="B61" s="2">
        <v>3</v>
      </c>
      <c r="C61" s="2" t="s">
        <v>899</v>
      </c>
      <c r="D61" s="2" t="s">
        <v>730</v>
      </c>
      <c r="E61" s="2" t="s">
        <v>152</v>
      </c>
      <c r="F61" s="2" t="s">
        <v>151</v>
      </c>
      <c r="G61" s="2" t="s">
        <v>0</v>
      </c>
      <c r="H61" s="2" t="s">
        <v>831</v>
      </c>
      <c r="I61" s="2" t="s">
        <v>732</v>
      </c>
      <c r="J61" s="2" t="s">
        <v>832</v>
      </c>
      <c r="K61" s="2" t="s">
        <v>833</v>
      </c>
      <c r="L61" s="2" t="s">
        <v>27</v>
      </c>
      <c r="M61" s="2" t="s">
        <v>30</v>
      </c>
      <c r="N61" s="2" t="s">
        <v>29</v>
      </c>
      <c r="O61" s="2" t="s">
        <v>153</v>
      </c>
      <c r="P61" s="2" t="s">
        <v>97</v>
      </c>
      <c r="Q61" s="2" t="s">
        <v>791</v>
      </c>
      <c r="R61" s="2" t="s">
        <v>792</v>
      </c>
      <c r="S61" s="2" t="s">
        <v>0</v>
      </c>
      <c r="T61" s="2" t="s">
        <v>0</v>
      </c>
      <c r="U61" s="2" t="s">
        <v>0</v>
      </c>
      <c r="V61" s="2" t="s">
        <v>0</v>
      </c>
      <c r="W61" s="2" t="s">
        <v>0</v>
      </c>
      <c r="X61" s="8" t="s">
        <v>0</v>
      </c>
      <c r="Y61" s="8" t="s">
        <v>0</v>
      </c>
      <c r="Z61" s="8" t="s">
        <v>0</v>
      </c>
      <c r="AA61" s="8" t="s">
        <v>0</v>
      </c>
      <c r="AB61" s="8" t="s">
        <v>0</v>
      </c>
      <c r="AC61" s="8" t="s">
        <v>0</v>
      </c>
      <c r="AD61" s="8" t="s">
        <v>0</v>
      </c>
      <c r="AE61" s="8" t="s">
        <v>0</v>
      </c>
      <c r="AF61" s="8" t="s">
        <v>0</v>
      </c>
      <c r="AG61" s="8" t="s">
        <v>0</v>
      </c>
      <c r="AH61" s="8" t="s">
        <v>0</v>
      </c>
    </row>
    <row r="62" spans="1:34" ht="33.75">
      <c r="A62" s="2" t="s">
        <v>92</v>
      </c>
      <c r="B62" s="2">
        <v>3</v>
      </c>
      <c r="C62" s="2" t="s">
        <v>899</v>
      </c>
      <c r="D62" s="2" t="s">
        <v>730</v>
      </c>
      <c r="E62" s="2" t="s">
        <v>159</v>
      </c>
      <c r="F62" s="2" t="s">
        <v>158</v>
      </c>
      <c r="G62" s="2" t="s">
        <v>0</v>
      </c>
      <c r="H62" s="2" t="s">
        <v>831</v>
      </c>
      <c r="I62" s="2" t="s">
        <v>732</v>
      </c>
      <c r="J62" s="2" t="s">
        <v>832</v>
      </c>
      <c r="K62" s="2" t="s">
        <v>833</v>
      </c>
      <c r="L62" s="2" t="s">
        <v>27</v>
      </c>
      <c r="M62" s="2" t="s">
        <v>30</v>
      </c>
      <c r="N62" s="2" t="s">
        <v>29</v>
      </c>
      <c r="O62" s="2" t="s">
        <v>160</v>
      </c>
      <c r="P62" s="2" t="s">
        <v>97</v>
      </c>
      <c r="Q62" s="2" t="s">
        <v>793</v>
      </c>
      <c r="R62" s="2" t="s">
        <v>794</v>
      </c>
      <c r="S62" s="2" t="s">
        <v>0</v>
      </c>
      <c r="T62" s="2" t="s">
        <v>0</v>
      </c>
      <c r="U62" s="2" t="s">
        <v>0</v>
      </c>
      <c r="V62" s="2" t="s">
        <v>0</v>
      </c>
      <c r="W62" s="2" t="s">
        <v>0</v>
      </c>
      <c r="X62" s="8" t="s">
        <v>0</v>
      </c>
      <c r="Y62" s="8" t="s">
        <v>0</v>
      </c>
      <c r="Z62" s="8" t="s">
        <v>0</v>
      </c>
      <c r="AA62" s="8" t="s">
        <v>0</v>
      </c>
      <c r="AB62" s="8" t="s">
        <v>0</v>
      </c>
      <c r="AC62" s="8" t="s">
        <v>0</v>
      </c>
      <c r="AD62" s="8" t="s">
        <v>0</v>
      </c>
      <c r="AE62" s="8" t="s">
        <v>0</v>
      </c>
      <c r="AF62" s="8" t="s">
        <v>0</v>
      </c>
      <c r="AG62" s="8" t="s">
        <v>0</v>
      </c>
      <c r="AH62" s="8" t="s">
        <v>0</v>
      </c>
    </row>
    <row r="63" spans="1:34" ht="33.75">
      <c r="A63" s="2" t="s">
        <v>121</v>
      </c>
      <c r="B63" s="2">
        <v>3</v>
      </c>
      <c r="C63" s="2" t="s">
        <v>899</v>
      </c>
      <c r="D63" s="2" t="s">
        <v>730</v>
      </c>
      <c r="E63" s="2" t="s">
        <v>165</v>
      </c>
      <c r="F63" s="2" t="s">
        <v>164</v>
      </c>
      <c r="G63" s="2" t="s">
        <v>0</v>
      </c>
      <c r="H63" s="2" t="s">
        <v>831</v>
      </c>
      <c r="I63" s="2" t="s">
        <v>732</v>
      </c>
      <c r="J63" s="2" t="s">
        <v>832</v>
      </c>
      <c r="K63" s="2" t="s">
        <v>833</v>
      </c>
      <c r="L63" s="2" t="s">
        <v>27</v>
      </c>
      <c r="M63" s="2" t="s">
        <v>30</v>
      </c>
      <c r="N63" s="2" t="s">
        <v>29</v>
      </c>
      <c r="O63" s="2" t="s">
        <v>166</v>
      </c>
      <c r="P63" s="2" t="s">
        <v>97</v>
      </c>
      <c r="Q63" s="2" t="s">
        <v>795</v>
      </c>
      <c r="R63" s="2" t="s">
        <v>796</v>
      </c>
      <c r="S63" s="2" t="s">
        <v>0</v>
      </c>
      <c r="T63" s="2" t="s">
        <v>0</v>
      </c>
      <c r="U63" s="2" t="s">
        <v>0</v>
      </c>
      <c r="V63" s="2" t="s">
        <v>0</v>
      </c>
      <c r="W63" s="2" t="s">
        <v>0</v>
      </c>
      <c r="X63" s="8" t="s">
        <v>0</v>
      </c>
      <c r="Y63" s="8" t="s">
        <v>0</v>
      </c>
      <c r="Z63" s="8" t="s">
        <v>0</v>
      </c>
      <c r="AA63" s="8" t="s">
        <v>0</v>
      </c>
      <c r="AB63" s="8" t="s">
        <v>0</v>
      </c>
      <c r="AC63" s="8" t="s">
        <v>0</v>
      </c>
      <c r="AD63" s="8" t="s">
        <v>0</v>
      </c>
      <c r="AE63" s="8" t="s">
        <v>0</v>
      </c>
      <c r="AF63" s="8" t="s">
        <v>0</v>
      </c>
      <c r="AG63" s="8" t="s">
        <v>0</v>
      </c>
      <c r="AH63" s="8" t="s">
        <v>0</v>
      </c>
    </row>
    <row r="64" spans="1:34" ht="33.75">
      <c r="A64" s="2" t="s">
        <v>121</v>
      </c>
      <c r="B64" s="2">
        <v>3</v>
      </c>
      <c r="C64" s="2" t="s">
        <v>899</v>
      </c>
      <c r="D64" s="2" t="s">
        <v>730</v>
      </c>
      <c r="E64" s="2" t="s">
        <v>172</v>
      </c>
      <c r="F64" s="2" t="s">
        <v>171</v>
      </c>
      <c r="G64" s="2" t="s">
        <v>0</v>
      </c>
      <c r="H64" s="2" t="s">
        <v>831</v>
      </c>
      <c r="I64" s="2" t="s">
        <v>732</v>
      </c>
      <c r="J64" s="2" t="s">
        <v>832</v>
      </c>
      <c r="K64" s="2" t="s">
        <v>833</v>
      </c>
      <c r="L64" s="2" t="s">
        <v>27</v>
      </c>
      <c r="M64" s="2" t="s">
        <v>30</v>
      </c>
      <c r="N64" s="2" t="s">
        <v>29</v>
      </c>
      <c r="O64" s="2" t="s">
        <v>173</v>
      </c>
      <c r="P64" s="2" t="s">
        <v>97</v>
      </c>
      <c r="Q64" s="2" t="s">
        <v>797</v>
      </c>
      <c r="R64" s="2" t="s">
        <v>798</v>
      </c>
      <c r="S64" s="2" t="s">
        <v>0</v>
      </c>
      <c r="T64" s="2" t="s">
        <v>0</v>
      </c>
      <c r="U64" s="2" t="s">
        <v>0</v>
      </c>
      <c r="V64" s="2" t="s">
        <v>0</v>
      </c>
      <c r="W64" s="2" t="s">
        <v>0</v>
      </c>
      <c r="X64" s="8" t="s">
        <v>0</v>
      </c>
      <c r="Y64" s="8" t="s">
        <v>0</v>
      </c>
      <c r="Z64" s="8" t="s">
        <v>0</v>
      </c>
      <c r="AA64" s="8" t="s">
        <v>0</v>
      </c>
      <c r="AB64" s="8" t="s">
        <v>0</v>
      </c>
      <c r="AC64" s="8" t="s">
        <v>0</v>
      </c>
      <c r="AD64" s="8" t="s">
        <v>0</v>
      </c>
      <c r="AE64" s="8" t="s">
        <v>0</v>
      </c>
      <c r="AF64" s="8" t="s">
        <v>0</v>
      </c>
      <c r="AG64" s="8" t="s">
        <v>0</v>
      </c>
      <c r="AH64" s="8" t="s">
        <v>0</v>
      </c>
    </row>
    <row r="65" spans="1:34" ht="33.75">
      <c r="A65" s="2" t="s">
        <v>121</v>
      </c>
      <c r="B65" s="2">
        <v>3</v>
      </c>
      <c r="C65" s="2" t="s">
        <v>899</v>
      </c>
      <c r="D65" s="2" t="s">
        <v>730</v>
      </c>
      <c r="E65" s="2" t="s">
        <v>179</v>
      </c>
      <c r="F65" s="2" t="s">
        <v>178</v>
      </c>
      <c r="G65" s="2" t="s">
        <v>0</v>
      </c>
      <c r="H65" s="2" t="s">
        <v>831</v>
      </c>
      <c r="I65" s="2" t="s">
        <v>732</v>
      </c>
      <c r="J65" s="2" t="s">
        <v>832</v>
      </c>
      <c r="K65" s="2" t="s">
        <v>833</v>
      </c>
      <c r="L65" s="2" t="s">
        <v>27</v>
      </c>
      <c r="M65" s="2" t="s">
        <v>30</v>
      </c>
      <c r="N65" s="2" t="s">
        <v>29</v>
      </c>
      <c r="O65" s="2" t="s">
        <v>180</v>
      </c>
      <c r="P65" s="2" t="s">
        <v>97</v>
      </c>
      <c r="Q65" s="2" t="s">
        <v>799</v>
      </c>
      <c r="R65" s="2" t="s">
        <v>800</v>
      </c>
      <c r="S65" s="2" t="s">
        <v>0</v>
      </c>
      <c r="T65" s="2" t="s">
        <v>0</v>
      </c>
      <c r="U65" s="2" t="s">
        <v>0</v>
      </c>
      <c r="V65" s="2" t="s">
        <v>0</v>
      </c>
      <c r="W65" s="2" t="s">
        <v>0</v>
      </c>
      <c r="X65" s="8" t="s">
        <v>0</v>
      </c>
      <c r="Y65" s="8" t="s">
        <v>0</v>
      </c>
      <c r="Z65" s="8" t="s">
        <v>0</v>
      </c>
      <c r="AA65" s="8" t="s">
        <v>0</v>
      </c>
      <c r="AB65" s="8" t="s">
        <v>0</v>
      </c>
      <c r="AC65" s="8" t="s">
        <v>0</v>
      </c>
      <c r="AD65" s="8" t="s">
        <v>0</v>
      </c>
      <c r="AE65" s="8" t="s">
        <v>0</v>
      </c>
      <c r="AF65" s="8" t="s">
        <v>0</v>
      </c>
      <c r="AG65" s="8" t="s">
        <v>0</v>
      </c>
      <c r="AH65" s="8" t="s">
        <v>0</v>
      </c>
    </row>
    <row r="66" spans="1:34" ht="33.75">
      <c r="A66" s="2" t="s">
        <v>121</v>
      </c>
      <c r="B66" s="2">
        <v>3</v>
      </c>
      <c r="C66" s="2" t="s">
        <v>899</v>
      </c>
      <c r="D66" s="2" t="s">
        <v>730</v>
      </c>
      <c r="E66" s="2" t="s">
        <v>186</v>
      </c>
      <c r="F66" s="2" t="s">
        <v>185</v>
      </c>
      <c r="G66" s="2" t="s">
        <v>0</v>
      </c>
      <c r="H66" s="2" t="s">
        <v>831</v>
      </c>
      <c r="I66" s="2" t="s">
        <v>732</v>
      </c>
      <c r="J66" s="2" t="s">
        <v>832</v>
      </c>
      <c r="K66" s="2" t="s">
        <v>833</v>
      </c>
      <c r="L66" s="2" t="s">
        <v>27</v>
      </c>
      <c r="M66" s="2" t="s">
        <v>30</v>
      </c>
      <c r="N66" s="2" t="s">
        <v>29</v>
      </c>
      <c r="O66" s="2" t="s">
        <v>187</v>
      </c>
      <c r="P66" s="2" t="s">
        <v>97</v>
      </c>
      <c r="Q66" s="2" t="s">
        <v>801</v>
      </c>
      <c r="R66" s="2" t="s">
        <v>802</v>
      </c>
      <c r="S66" s="2" t="s">
        <v>0</v>
      </c>
      <c r="T66" s="2" t="s">
        <v>0</v>
      </c>
      <c r="U66" s="2" t="s">
        <v>0</v>
      </c>
      <c r="V66" s="2" t="s">
        <v>0</v>
      </c>
      <c r="W66" s="2" t="s">
        <v>0</v>
      </c>
      <c r="X66" s="8" t="s">
        <v>0</v>
      </c>
      <c r="Y66" s="8" t="s">
        <v>0</v>
      </c>
      <c r="Z66" s="8" t="s">
        <v>0</v>
      </c>
      <c r="AA66" s="8" t="s">
        <v>0</v>
      </c>
      <c r="AB66" s="8" t="s">
        <v>0</v>
      </c>
      <c r="AC66" s="8" t="s">
        <v>0</v>
      </c>
      <c r="AD66" s="8" t="s">
        <v>0</v>
      </c>
      <c r="AE66" s="8" t="s">
        <v>0</v>
      </c>
      <c r="AF66" s="8" t="s">
        <v>0</v>
      </c>
      <c r="AG66" s="8" t="s">
        <v>0</v>
      </c>
      <c r="AH66" s="8" t="s">
        <v>0</v>
      </c>
    </row>
    <row r="67" spans="1:34" ht="33.75">
      <c r="A67" s="2" t="s">
        <v>121</v>
      </c>
      <c r="B67" s="2">
        <v>3</v>
      </c>
      <c r="C67" s="2" t="s">
        <v>899</v>
      </c>
      <c r="D67" s="2" t="s">
        <v>730</v>
      </c>
      <c r="E67" s="2" t="s">
        <v>193</v>
      </c>
      <c r="F67" s="2" t="s">
        <v>192</v>
      </c>
      <c r="G67" s="2" t="s">
        <v>0</v>
      </c>
      <c r="H67" s="2" t="s">
        <v>831</v>
      </c>
      <c r="I67" s="2" t="s">
        <v>732</v>
      </c>
      <c r="J67" s="2" t="s">
        <v>832</v>
      </c>
      <c r="K67" s="2" t="s">
        <v>833</v>
      </c>
      <c r="L67" s="2" t="s">
        <v>27</v>
      </c>
      <c r="M67" s="2" t="s">
        <v>30</v>
      </c>
      <c r="N67" s="2" t="s">
        <v>29</v>
      </c>
      <c r="O67" s="2" t="s">
        <v>194</v>
      </c>
      <c r="P67" s="2" t="s">
        <v>97</v>
      </c>
      <c r="Q67" s="2" t="s">
        <v>757</v>
      </c>
      <c r="R67" s="2" t="s">
        <v>758</v>
      </c>
      <c r="S67" s="2" t="s">
        <v>0</v>
      </c>
      <c r="T67" s="2" t="s">
        <v>0</v>
      </c>
      <c r="U67" s="2" t="s">
        <v>0</v>
      </c>
      <c r="V67" s="2" t="s">
        <v>0</v>
      </c>
      <c r="W67" s="2" t="s">
        <v>0</v>
      </c>
      <c r="X67" s="8" t="s">
        <v>0</v>
      </c>
      <c r="Y67" s="8" t="s">
        <v>0</v>
      </c>
      <c r="Z67" s="8" t="s">
        <v>0</v>
      </c>
      <c r="AA67" s="8" t="s">
        <v>0</v>
      </c>
      <c r="AB67" s="8" t="s">
        <v>0</v>
      </c>
      <c r="AC67" s="8" t="s">
        <v>0</v>
      </c>
      <c r="AD67" s="8" t="s">
        <v>0</v>
      </c>
      <c r="AE67" s="8" t="s">
        <v>0</v>
      </c>
      <c r="AF67" s="8" t="s">
        <v>0</v>
      </c>
      <c r="AG67" s="8" t="s">
        <v>0</v>
      </c>
      <c r="AH67" s="8" t="s">
        <v>0</v>
      </c>
    </row>
    <row r="68" spans="1:34" ht="33.75">
      <c r="A68" s="2" t="s">
        <v>92</v>
      </c>
      <c r="B68" s="2">
        <v>3</v>
      </c>
      <c r="C68" s="2" t="s">
        <v>899</v>
      </c>
      <c r="D68" s="2" t="s">
        <v>730</v>
      </c>
      <c r="E68" s="2" t="s">
        <v>200</v>
      </c>
      <c r="F68" s="2" t="s">
        <v>199</v>
      </c>
      <c r="G68" s="2" t="s">
        <v>0</v>
      </c>
      <c r="H68" s="2" t="s">
        <v>831</v>
      </c>
      <c r="I68" s="2" t="s">
        <v>732</v>
      </c>
      <c r="J68" s="2" t="s">
        <v>832</v>
      </c>
      <c r="K68" s="2" t="s">
        <v>833</v>
      </c>
      <c r="L68" s="2" t="s">
        <v>27</v>
      </c>
      <c r="M68" s="2" t="s">
        <v>30</v>
      </c>
      <c r="N68" s="2" t="s">
        <v>29</v>
      </c>
      <c r="O68" s="2" t="s">
        <v>201</v>
      </c>
      <c r="P68" s="2" t="s">
        <v>97</v>
      </c>
      <c r="Q68" s="2" t="s">
        <v>747</v>
      </c>
      <c r="R68" s="2" t="s">
        <v>748</v>
      </c>
      <c r="S68" s="2" t="s">
        <v>0</v>
      </c>
      <c r="T68" s="2" t="s">
        <v>0</v>
      </c>
      <c r="U68" s="2" t="s">
        <v>0</v>
      </c>
      <c r="V68" s="2" t="s">
        <v>0</v>
      </c>
      <c r="W68" s="2" t="s">
        <v>0</v>
      </c>
      <c r="X68" s="8" t="s">
        <v>0</v>
      </c>
      <c r="Y68" s="8" t="s">
        <v>0</v>
      </c>
      <c r="Z68" s="8" t="s">
        <v>0</v>
      </c>
      <c r="AA68" s="8" t="s">
        <v>0</v>
      </c>
      <c r="AB68" s="8" t="s">
        <v>0</v>
      </c>
      <c r="AC68" s="8" t="s">
        <v>0</v>
      </c>
      <c r="AD68" s="8" t="s">
        <v>0</v>
      </c>
      <c r="AE68" s="8" t="s">
        <v>0</v>
      </c>
      <c r="AF68" s="8" t="s">
        <v>0</v>
      </c>
      <c r="AG68" s="8" t="s">
        <v>0</v>
      </c>
      <c r="AH68" s="8" t="s">
        <v>0</v>
      </c>
    </row>
    <row r="69" spans="1:34" ht="33.75">
      <c r="A69" s="2" t="s">
        <v>92</v>
      </c>
      <c r="B69" s="2">
        <v>3</v>
      </c>
      <c r="C69" s="2" t="s">
        <v>899</v>
      </c>
      <c r="D69" s="2" t="s">
        <v>730</v>
      </c>
      <c r="E69" s="2" t="s">
        <v>207</v>
      </c>
      <c r="F69" s="2" t="s">
        <v>206</v>
      </c>
      <c r="G69" s="2" t="s">
        <v>0</v>
      </c>
      <c r="H69" s="2" t="s">
        <v>831</v>
      </c>
      <c r="I69" s="2" t="s">
        <v>732</v>
      </c>
      <c r="J69" s="2" t="s">
        <v>832</v>
      </c>
      <c r="K69" s="2" t="s">
        <v>833</v>
      </c>
      <c r="L69" s="2" t="s">
        <v>27</v>
      </c>
      <c r="M69" s="2" t="s">
        <v>30</v>
      </c>
      <c r="N69" s="2" t="s">
        <v>29</v>
      </c>
      <c r="O69" s="2" t="s">
        <v>208</v>
      </c>
      <c r="P69" s="2" t="s">
        <v>97</v>
      </c>
      <c r="Q69" s="2" t="s">
        <v>803</v>
      </c>
      <c r="R69" s="2" t="s">
        <v>804</v>
      </c>
      <c r="S69" s="2" t="s">
        <v>0</v>
      </c>
      <c r="T69" s="2" t="s">
        <v>0</v>
      </c>
      <c r="U69" s="2" t="s">
        <v>0</v>
      </c>
      <c r="V69" s="2" t="s">
        <v>0</v>
      </c>
      <c r="W69" s="2" t="s">
        <v>0</v>
      </c>
      <c r="X69" s="8" t="s">
        <v>0</v>
      </c>
      <c r="Y69" s="8" t="s">
        <v>0</v>
      </c>
      <c r="Z69" s="8" t="s">
        <v>0</v>
      </c>
      <c r="AA69" s="8" t="s">
        <v>0</v>
      </c>
      <c r="AB69" s="8" t="s">
        <v>0</v>
      </c>
      <c r="AC69" s="8" t="s">
        <v>0</v>
      </c>
      <c r="AD69" s="8" t="s">
        <v>0</v>
      </c>
      <c r="AE69" s="8" t="s">
        <v>0</v>
      </c>
      <c r="AF69" s="8" t="s">
        <v>0</v>
      </c>
      <c r="AG69" s="8" t="s">
        <v>0</v>
      </c>
      <c r="AH69" s="8" t="s">
        <v>0</v>
      </c>
    </row>
    <row r="70" spans="1:34" ht="33.75">
      <c r="A70" s="2" t="s">
        <v>121</v>
      </c>
      <c r="B70" s="2">
        <v>3</v>
      </c>
      <c r="C70" s="2" t="s">
        <v>899</v>
      </c>
      <c r="D70" s="2" t="s">
        <v>730</v>
      </c>
      <c r="E70" s="2" t="s">
        <v>214</v>
      </c>
      <c r="F70" s="2" t="s">
        <v>213</v>
      </c>
      <c r="G70" s="2" t="s">
        <v>0</v>
      </c>
      <c r="H70" s="2" t="s">
        <v>831</v>
      </c>
      <c r="I70" s="2" t="s">
        <v>732</v>
      </c>
      <c r="J70" s="2" t="s">
        <v>832</v>
      </c>
      <c r="K70" s="2" t="s">
        <v>833</v>
      </c>
      <c r="L70" s="2" t="s">
        <v>27</v>
      </c>
      <c r="M70" s="2" t="s">
        <v>30</v>
      </c>
      <c r="N70" s="2" t="s">
        <v>29</v>
      </c>
      <c r="O70" s="2" t="s">
        <v>215</v>
      </c>
      <c r="P70" s="2" t="s">
        <v>97</v>
      </c>
      <c r="Q70" s="2" t="s">
        <v>805</v>
      </c>
      <c r="R70" s="2" t="s">
        <v>806</v>
      </c>
      <c r="S70" s="2" t="s">
        <v>0</v>
      </c>
      <c r="T70" s="2" t="s">
        <v>0</v>
      </c>
      <c r="U70" s="2" t="s">
        <v>0</v>
      </c>
      <c r="V70" s="2" t="s">
        <v>0</v>
      </c>
      <c r="W70" s="2" t="s">
        <v>0</v>
      </c>
      <c r="X70" s="8" t="s">
        <v>0</v>
      </c>
      <c r="Y70" s="8" t="s">
        <v>0</v>
      </c>
      <c r="Z70" s="8" t="s">
        <v>0</v>
      </c>
      <c r="AA70" s="8" t="s">
        <v>0</v>
      </c>
      <c r="AB70" s="8" t="s">
        <v>0</v>
      </c>
      <c r="AC70" s="8" t="s">
        <v>0</v>
      </c>
      <c r="AD70" s="8" t="s">
        <v>0</v>
      </c>
      <c r="AE70" s="8" t="s">
        <v>0</v>
      </c>
      <c r="AF70" s="8" t="s">
        <v>0</v>
      </c>
      <c r="AG70" s="8" t="s">
        <v>0</v>
      </c>
      <c r="AH70" s="8" t="s">
        <v>0</v>
      </c>
    </row>
    <row r="71" spans="1:34" ht="33.75">
      <c r="A71" s="2" t="s">
        <v>121</v>
      </c>
      <c r="B71" s="2">
        <v>3</v>
      </c>
      <c r="C71" s="2" t="s">
        <v>899</v>
      </c>
      <c r="D71" s="2" t="s">
        <v>730</v>
      </c>
      <c r="E71" s="2" t="s">
        <v>221</v>
      </c>
      <c r="F71" s="2" t="s">
        <v>220</v>
      </c>
      <c r="G71" s="2" t="s">
        <v>0</v>
      </c>
      <c r="H71" s="2" t="s">
        <v>831</v>
      </c>
      <c r="I71" s="2" t="s">
        <v>732</v>
      </c>
      <c r="J71" s="2" t="s">
        <v>832</v>
      </c>
      <c r="K71" s="2" t="s">
        <v>833</v>
      </c>
      <c r="L71" s="2" t="s">
        <v>27</v>
      </c>
      <c r="M71" s="2" t="s">
        <v>30</v>
      </c>
      <c r="N71" s="2" t="s">
        <v>29</v>
      </c>
      <c r="O71" s="2" t="s">
        <v>222</v>
      </c>
      <c r="P71" s="2" t="s">
        <v>97</v>
      </c>
      <c r="Q71" s="2" t="s">
        <v>759</v>
      </c>
      <c r="R71" s="2" t="s">
        <v>760</v>
      </c>
      <c r="S71" s="2" t="s">
        <v>0</v>
      </c>
      <c r="T71" s="2" t="s">
        <v>0</v>
      </c>
      <c r="U71" s="2" t="s">
        <v>0</v>
      </c>
      <c r="V71" s="2" t="s">
        <v>0</v>
      </c>
      <c r="W71" s="2" t="s">
        <v>0</v>
      </c>
      <c r="X71" s="8" t="s">
        <v>0</v>
      </c>
      <c r="Y71" s="8" t="s">
        <v>0</v>
      </c>
      <c r="Z71" s="8" t="s">
        <v>0</v>
      </c>
      <c r="AA71" s="8" t="s">
        <v>0</v>
      </c>
      <c r="AB71" s="8" t="s">
        <v>0</v>
      </c>
      <c r="AC71" s="8" t="s">
        <v>0</v>
      </c>
      <c r="AD71" s="8" t="s">
        <v>0</v>
      </c>
      <c r="AE71" s="8" t="s">
        <v>0</v>
      </c>
      <c r="AF71" s="8" t="s">
        <v>0</v>
      </c>
      <c r="AG71" s="8" t="s">
        <v>0</v>
      </c>
      <c r="AH71" s="8" t="s">
        <v>0</v>
      </c>
    </row>
    <row r="72" spans="1:34" ht="33.75">
      <c r="A72" s="2" t="s">
        <v>121</v>
      </c>
      <c r="B72" s="2">
        <v>3</v>
      </c>
      <c r="C72" s="2" t="s">
        <v>899</v>
      </c>
      <c r="D72" s="2" t="s">
        <v>730</v>
      </c>
      <c r="E72" s="2" t="s">
        <v>228</v>
      </c>
      <c r="F72" s="2" t="s">
        <v>227</v>
      </c>
      <c r="G72" s="2" t="s">
        <v>0</v>
      </c>
      <c r="H72" s="2" t="s">
        <v>831</v>
      </c>
      <c r="I72" s="2" t="s">
        <v>732</v>
      </c>
      <c r="J72" s="2" t="s">
        <v>832</v>
      </c>
      <c r="K72" s="2" t="s">
        <v>833</v>
      </c>
      <c r="L72" s="2" t="s">
        <v>27</v>
      </c>
      <c r="M72" s="2" t="s">
        <v>30</v>
      </c>
      <c r="N72" s="2" t="s">
        <v>29</v>
      </c>
      <c r="O72" s="2" t="s">
        <v>229</v>
      </c>
      <c r="P72" s="2" t="s">
        <v>97</v>
      </c>
      <c r="Q72" s="2" t="s">
        <v>761</v>
      </c>
      <c r="R72" s="2" t="s">
        <v>762</v>
      </c>
      <c r="S72" s="2" t="s">
        <v>0</v>
      </c>
      <c r="T72" s="2" t="s">
        <v>0</v>
      </c>
      <c r="U72" s="2" t="s">
        <v>0</v>
      </c>
      <c r="V72" s="2" t="s">
        <v>0</v>
      </c>
      <c r="W72" s="2" t="s">
        <v>0</v>
      </c>
      <c r="X72" s="8" t="s">
        <v>0</v>
      </c>
      <c r="Y72" s="8" t="s">
        <v>0</v>
      </c>
      <c r="Z72" s="8" t="s">
        <v>0</v>
      </c>
      <c r="AA72" s="8" t="s">
        <v>0</v>
      </c>
      <c r="AB72" s="8" t="s">
        <v>0</v>
      </c>
      <c r="AC72" s="8" t="s">
        <v>0</v>
      </c>
      <c r="AD72" s="8" t="s">
        <v>0</v>
      </c>
      <c r="AE72" s="8" t="s">
        <v>0</v>
      </c>
      <c r="AF72" s="8" t="s">
        <v>0</v>
      </c>
      <c r="AG72" s="8" t="s">
        <v>0</v>
      </c>
      <c r="AH72" s="8" t="s">
        <v>0</v>
      </c>
    </row>
    <row r="73" spans="1:34" ht="33.75">
      <c r="A73" s="2" t="s">
        <v>121</v>
      </c>
      <c r="B73" s="2">
        <v>3</v>
      </c>
      <c r="C73" s="2" t="s">
        <v>899</v>
      </c>
      <c r="D73" s="2" t="s">
        <v>730</v>
      </c>
      <c r="E73" s="2" t="s">
        <v>247</v>
      </c>
      <c r="F73" s="2" t="s">
        <v>246</v>
      </c>
      <c r="G73" s="2" t="s">
        <v>0</v>
      </c>
      <c r="H73" s="2" t="s">
        <v>831</v>
      </c>
      <c r="I73" s="2" t="s">
        <v>732</v>
      </c>
      <c r="J73" s="2" t="s">
        <v>832</v>
      </c>
      <c r="K73" s="2" t="s">
        <v>833</v>
      </c>
      <c r="L73" s="2" t="s">
        <v>27</v>
      </c>
      <c r="M73" s="2" t="s">
        <v>30</v>
      </c>
      <c r="N73" s="2" t="s">
        <v>29</v>
      </c>
      <c r="O73" s="2" t="s">
        <v>31</v>
      </c>
      <c r="P73" s="2" t="s">
        <v>97</v>
      </c>
      <c r="Q73" s="2" t="s">
        <v>735</v>
      </c>
      <c r="R73" s="2" t="s">
        <v>736</v>
      </c>
      <c r="S73" s="2" t="s">
        <v>0</v>
      </c>
      <c r="T73" s="2" t="s">
        <v>0</v>
      </c>
      <c r="U73" s="2" t="s">
        <v>0</v>
      </c>
      <c r="V73" s="2" t="s">
        <v>0</v>
      </c>
      <c r="W73" s="2" t="s">
        <v>0</v>
      </c>
      <c r="X73" s="8" t="s">
        <v>0</v>
      </c>
      <c r="Y73" s="8" t="s">
        <v>0</v>
      </c>
      <c r="Z73" s="8" t="s">
        <v>0</v>
      </c>
      <c r="AA73" s="8" t="s">
        <v>0</v>
      </c>
      <c r="AB73" s="8" t="s">
        <v>0</v>
      </c>
      <c r="AC73" s="8" t="s">
        <v>0</v>
      </c>
      <c r="AD73" s="8" t="s">
        <v>0</v>
      </c>
      <c r="AE73" s="8" t="s">
        <v>0</v>
      </c>
      <c r="AF73" s="8" t="s">
        <v>0</v>
      </c>
      <c r="AG73" s="8" t="s">
        <v>0</v>
      </c>
      <c r="AH73" s="8" t="s">
        <v>0</v>
      </c>
    </row>
    <row r="74" spans="1:34" ht="33.75">
      <c r="A74" s="2" t="s">
        <v>121</v>
      </c>
      <c r="B74" s="2">
        <v>3</v>
      </c>
      <c r="C74" s="2" t="s">
        <v>899</v>
      </c>
      <c r="D74" s="2" t="s">
        <v>730</v>
      </c>
      <c r="E74" s="2" t="s">
        <v>253</v>
      </c>
      <c r="F74" s="2" t="s">
        <v>252</v>
      </c>
      <c r="G74" s="2" t="s">
        <v>0</v>
      </c>
      <c r="H74" s="2" t="s">
        <v>831</v>
      </c>
      <c r="I74" s="2" t="s">
        <v>732</v>
      </c>
      <c r="J74" s="2" t="s">
        <v>832</v>
      </c>
      <c r="K74" s="2" t="s">
        <v>833</v>
      </c>
      <c r="L74" s="2" t="s">
        <v>27</v>
      </c>
      <c r="M74" s="2" t="s">
        <v>30</v>
      </c>
      <c r="N74" s="2" t="s">
        <v>29</v>
      </c>
      <c r="O74" s="2" t="s">
        <v>254</v>
      </c>
      <c r="P74" s="2" t="s">
        <v>97</v>
      </c>
      <c r="Q74" s="2" t="s">
        <v>749</v>
      </c>
      <c r="R74" s="2" t="s">
        <v>750</v>
      </c>
      <c r="S74" s="2" t="s">
        <v>0</v>
      </c>
      <c r="T74" s="2" t="s">
        <v>0</v>
      </c>
      <c r="U74" s="2" t="s">
        <v>0</v>
      </c>
      <c r="V74" s="2" t="s">
        <v>0</v>
      </c>
      <c r="W74" s="2" t="s">
        <v>0</v>
      </c>
      <c r="X74" s="8" t="s">
        <v>0</v>
      </c>
      <c r="Y74" s="8" t="s">
        <v>0</v>
      </c>
      <c r="Z74" s="8" t="s">
        <v>0</v>
      </c>
      <c r="AA74" s="8" t="s">
        <v>0</v>
      </c>
      <c r="AB74" s="8" t="s">
        <v>0</v>
      </c>
      <c r="AC74" s="8" t="s">
        <v>0</v>
      </c>
      <c r="AD74" s="8" t="s">
        <v>0</v>
      </c>
      <c r="AE74" s="8" t="s">
        <v>0</v>
      </c>
      <c r="AF74" s="8" t="s">
        <v>0</v>
      </c>
      <c r="AG74" s="8" t="s">
        <v>0</v>
      </c>
      <c r="AH74" s="8" t="s">
        <v>0</v>
      </c>
    </row>
    <row r="75" spans="1:34" ht="33.75">
      <c r="A75" s="2" t="s">
        <v>92</v>
      </c>
      <c r="B75" s="2">
        <v>3</v>
      </c>
      <c r="C75" s="2" t="s">
        <v>899</v>
      </c>
      <c r="D75" s="2" t="s">
        <v>730</v>
      </c>
      <c r="E75" s="2" t="s">
        <v>260</v>
      </c>
      <c r="F75" s="2" t="s">
        <v>259</v>
      </c>
      <c r="G75" s="2" t="s">
        <v>0</v>
      </c>
      <c r="H75" s="2" t="s">
        <v>831</v>
      </c>
      <c r="I75" s="2" t="s">
        <v>732</v>
      </c>
      <c r="J75" s="2" t="s">
        <v>832</v>
      </c>
      <c r="K75" s="2" t="s">
        <v>833</v>
      </c>
      <c r="L75" s="2" t="s">
        <v>27</v>
      </c>
      <c r="M75" s="2" t="s">
        <v>30</v>
      </c>
      <c r="N75" s="2" t="s">
        <v>29</v>
      </c>
      <c r="O75" s="2" t="s">
        <v>261</v>
      </c>
      <c r="P75" s="2" t="s">
        <v>97</v>
      </c>
      <c r="Q75" s="2" t="s">
        <v>751</v>
      </c>
      <c r="R75" s="2" t="s">
        <v>752</v>
      </c>
      <c r="S75" s="2" t="s">
        <v>0</v>
      </c>
      <c r="T75" s="2" t="s">
        <v>0</v>
      </c>
      <c r="U75" s="2" t="s">
        <v>0</v>
      </c>
      <c r="V75" s="2" t="s">
        <v>0</v>
      </c>
      <c r="W75" s="2" t="s">
        <v>0</v>
      </c>
      <c r="X75" s="8" t="s">
        <v>0</v>
      </c>
      <c r="Y75" s="8" t="s">
        <v>0</v>
      </c>
      <c r="Z75" s="8" t="s">
        <v>0</v>
      </c>
      <c r="AA75" s="8" t="s">
        <v>0</v>
      </c>
      <c r="AB75" s="8" t="s">
        <v>0</v>
      </c>
      <c r="AC75" s="8" t="s">
        <v>0</v>
      </c>
      <c r="AD75" s="8" t="s">
        <v>0</v>
      </c>
      <c r="AE75" s="8" t="s">
        <v>0</v>
      </c>
      <c r="AF75" s="8" t="s">
        <v>0</v>
      </c>
      <c r="AG75" s="8" t="s">
        <v>0</v>
      </c>
      <c r="AH75" s="8" t="s">
        <v>0</v>
      </c>
    </row>
    <row r="76" spans="1:34" ht="33.75">
      <c r="A76" s="2" t="s">
        <v>121</v>
      </c>
      <c r="B76" s="2">
        <v>3</v>
      </c>
      <c r="C76" s="2" t="s">
        <v>899</v>
      </c>
      <c r="D76" s="2" t="s">
        <v>730</v>
      </c>
      <c r="E76" s="2" t="s">
        <v>272</v>
      </c>
      <c r="F76" s="2" t="s">
        <v>271</v>
      </c>
      <c r="G76" s="2" t="s">
        <v>0</v>
      </c>
      <c r="H76" s="2" t="s">
        <v>831</v>
      </c>
      <c r="I76" s="2" t="s">
        <v>732</v>
      </c>
      <c r="J76" s="2" t="s">
        <v>832</v>
      </c>
      <c r="K76" s="2" t="s">
        <v>833</v>
      </c>
      <c r="L76" s="2" t="s">
        <v>27</v>
      </c>
      <c r="M76" s="2" t="s">
        <v>30</v>
      </c>
      <c r="N76" s="2" t="s">
        <v>29</v>
      </c>
      <c r="O76" s="2" t="s">
        <v>273</v>
      </c>
      <c r="P76" s="2" t="s">
        <v>97</v>
      </c>
      <c r="Q76" s="2" t="s">
        <v>811</v>
      </c>
      <c r="R76" s="2" t="s">
        <v>812</v>
      </c>
      <c r="S76" s="2" t="s">
        <v>0</v>
      </c>
      <c r="T76" s="2" t="s">
        <v>0</v>
      </c>
      <c r="U76" s="2" t="s">
        <v>0</v>
      </c>
      <c r="V76" s="2" t="s">
        <v>0</v>
      </c>
      <c r="W76" s="2" t="s">
        <v>0</v>
      </c>
      <c r="X76" s="8" t="s">
        <v>0</v>
      </c>
      <c r="Y76" s="8" t="s">
        <v>0</v>
      </c>
      <c r="Z76" s="8" t="s">
        <v>0</v>
      </c>
      <c r="AA76" s="8" t="s">
        <v>0</v>
      </c>
      <c r="AB76" s="8" t="s">
        <v>0</v>
      </c>
      <c r="AC76" s="8" t="s">
        <v>0</v>
      </c>
      <c r="AD76" s="8" t="s">
        <v>0</v>
      </c>
      <c r="AE76" s="8" t="s">
        <v>0</v>
      </c>
      <c r="AF76" s="8" t="s">
        <v>0</v>
      </c>
      <c r="AG76" s="8" t="s">
        <v>0</v>
      </c>
      <c r="AH76" s="8" t="s">
        <v>0</v>
      </c>
    </row>
    <row r="77" spans="1:34" ht="33.75">
      <c r="A77" s="2" t="s">
        <v>121</v>
      </c>
      <c r="B77" s="2">
        <v>3</v>
      </c>
      <c r="C77" s="2" t="s">
        <v>899</v>
      </c>
      <c r="D77" s="2" t="s">
        <v>730</v>
      </c>
      <c r="E77" s="2" t="s">
        <v>280</v>
      </c>
      <c r="F77" s="2" t="s">
        <v>279</v>
      </c>
      <c r="G77" s="2" t="s">
        <v>0</v>
      </c>
      <c r="H77" s="2" t="s">
        <v>831</v>
      </c>
      <c r="I77" s="2" t="s">
        <v>732</v>
      </c>
      <c r="J77" s="2" t="s">
        <v>832</v>
      </c>
      <c r="K77" s="2" t="s">
        <v>833</v>
      </c>
      <c r="L77" s="2" t="s">
        <v>27</v>
      </c>
      <c r="M77" s="2" t="s">
        <v>30</v>
      </c>
      <c r="N77" s="2" t="s">
        <v>29</v>
      </c>
      <c r="O77" s="2" t="s">
        <v>281</v>
      </c>
      <c r="P77" s="2" t="s">
        <v>97</v>
      </c>
      <c r="Q77" s="2" t="s">
        <v>813</v>
      </c>
      <c r="R77" s="2" t="s">
        <v>814</v>
      </c>
      <c r="S77" s="2" t="s">
        <v>0</v>
      </c>
      <c r="T77" s="2" t="s">
        <v>0</v>
      </c>
      <c r="U77" s="2" t="s">
        <v>0</v>
      </c>
      <c r="V77" s="2" t="s">
        <v>0</v>
      </c>
      <c r="W77" s="2" t="s">
        <v>0</v>
      </c>
      <c r="X77" s="8" t="s">
        <v>0</v>
      </c>
      <c r="Y77" s="8" t="s">
        <v>0</v>
      </c>
      <c r="Z77" s="8" t="s">
        <v>0</v>
      </c>
      <c r="AA77" s="8" t="s">
        <v>0</v>
      </c>
      <c r="AB77" s="8" t="s">
        <v>0</v>
      </c>
      <c r="AC77" s="8" t="s">
        <v>0</v>
      </c>
      <c r="AD77" s="8" t="s">
        <v>0</v>
      </c>
      <c r="AE77" s="8" t="s">
        <v>0</v>
      </c>
      <c r="AF77" s="8" t="s">
        <v>0</v>
      </c>
      <c r="AG77" s="8" t="s">
        <v>0</v>
      </c>
      <c r="AH77" s="8" t="s">
        <v>0</v>
      </c>
    </row>
    <row r="78" spans="1:34" ht="33.75">
      <c r="A78" s="2" t="s">
        <v>121</v>
      </c>
      <c r="B78" s="2">
        <v>3</v>
      </c>
      <c r="C78" s="2" t="s">
        <v>899</v>
      </c>
      <c r="D78" s="2" t="s">
        <v>730</v>
      </c>
      <c r="E78" s="2" t="s">
        <v>286</v>
      </c>
      <c r="F78" s="2" t="s">
        <v>285</v>
      </c>
      <c r="G78" s="2" t="s">
        <v>0</v>
      </c>
      <c r="H78" s="2" t="s">
        <v>831</v>
      </c>
      <c r="I78" s="2" t="s">
        <v>732</v>
      </c>
      <c r="J78" s="2" t="s">
        <v>832</v>
      </c>
      <c r="K78" s="2" t="s">
        <v>833</v>
      </c>
      <c r="L78" s="2" t="s">
        <v>27</v>
      </c>
      <c r="M78" s="2" t="s">
        <v>30</v>
      </c>
      <c r="N78" s="2" t="s">
        <v>29</v>
      </c>
      <c r="O78" s="2" t="s">
        <v>287</v>
      </c>
      <c r="P78" s="2" t="s">
        <v>97</v>
      </c>
      <c r="Q78" s="2" t="s">
        <v>815</v>
      </c>
      <c r="R78" s="2" t="s">
        <v>816</v>
      </c>
      <c r="S78" s="2" t="s">
        <v>0</v>
      </c>
      <c r="T78" s="2" t="s">
        <v>0</v>
      </c>
      <c r="U78" s="2" t="s">
        <v>0</v>
      </c>
      <c r="V78" s="2" t="s">
        <v>0</v>
      </c>
      <c r="W78" s="2" t="s">
        <v>0</v>
      </c>
      <c r="X78" s="8" t="s">
        <v>0</v>
      </c>
      <c r="Y78" s="8" t="s">
        <v>0</v>
      </c>
      <c r="Z78" s="8" t="s">
        <v>0</v>
      </c>
      <c r="AA78" s="8" t="s">
        <v>0</v>
      </c>
      <c r="AB78" s="8" t="s">
        <v>0</v>
      </c>
      <c r="AC78" s="8" t="s">
        <v>0</v>
      </c>
      <c r="AD78" s="8" t="s">
        <v>0</v>
      </c>
      <c r="AE78" s="8" t="s">
        <v>0</v>
      </c>
      <c r="AF78" s="8" t="s">
        <v>0</v>
      </c>
      <c r="AG78" s="8" t="s">
        <v>0</v>
      </c>
      <c r="AH78" s="8" t="s">
        <v>0</v>
      </c>
    </row>
    <row r="79" spans="1:34" ht="33.75">
      <c r="A79" s="2" t="s">
        <v>121</v>
      </c>
      <c r="B79" s="2">
        <v>3</v>
      </c>
      <c r="C79" s="2" t="s">
        <v>899</v>
      </c>
      <c r="D79" s="2" t="s">
        <v>730</v>
      </c>
      <c r="E79" s="2" t="s">
        <v>316</v>
      </c>
      <c r="F79" s="2" t="s">
        <v>315</v>
      </c>
      <c r="G79" s="2" t="s">
        <v>0</v>
      </c>
      <c r="H79" s="2" t="s">
        <v>831</v>
      </c>
      <c r="I79" s="2" t="s">
        <v>732</v>
      </c>
      <c r="J79" s="2" t="s">
        <v>832</v>
      </c>
      <c r="K79" s="2" t="s">
        <v>833</v>
      </c>
      <c r="L79" s="2" t="s">
        <v>27</v>
      </c>
      <c r="M79" s="2" t="s">
        <v>30</v>
      </c>
      <c r="N79" s="2" t="s">
        <v>29</v>
      </c>
      <c r="O79" s="2" t="s">
        <v>317</v>
      </c>
      <c r="P79" s="2" t="s">
        <v>97</v>
      </c>
      <c r="Q79" s="2" t="s">
        <v>821</v>
      </c>
      <c r="R79" s="2" t="s">
        <v>822</v>
      </c>
      <c r="S79" s="2" t="s">
        <v>0</v>
      </c>
      <c r="T79" s="2" t="s">
        <v>0</v>
      </c>
      <c r="U79" s="2" t="s">
        <v>0</v>
      </c>
      <c r="V79" s="2" t="s">
        <v>0</v>
      </c>
      <c r="W79" s="2" t="s">
        <v>0</v>
      </c>
      <c r="X79" s="8" t="s">
        <v>0</v>
      </c>
      <c r="Y79" s="8" t="s">
        <v>0</v>
      </c>
      <c r="Z79" s="8" t="s">
        <v>0</v>
      </c>
      <c r="AA79" s="8" t="s">
        <v>0</v>
      </c>
      <c r="AB79" s="8" t="s">
        <v>0</v>
      </c>
      <c r="AC79" s="8" t="s">
        <v>0</v>
      </c>
      <c r="AD79" s="8" t="s">
        <v>0</v>
      </c>
      <c r="AE79" s="8" t="s">
        <v>0</v>
      </c>
      <c r="AF79" s="8" t="s">
        <v>0</v>
      </c>
      <c r="AG79" s="8" t="s">
        <v>0</v>
      </c>
      <c r="AH79" s="8" t="s">
        <v>0</v>
      </c>
    </row>
    <row r="80" spans="1:34" ht="22.5">
      <c r="A80" s="2" t="s">
        <v>92</v>
      </c>
      <c r="B80" s="2">
        <v>3</v>
      </c>
      <c r="C80" s="2" t="s">
        <v>779</v>
      </c>
      <c r="D80" s="2" t="s">
        <v>730</v>
      </c>
      <c r="E80" s="2" t="s">
        <v>95</v>
      </c>
      <c r="F80" s="2" t="s">
        <v>94</v>
      </c>
      <c r="G80" s="2" t="s">
        <v>0</v>
      </c>
      <c r="H80" s="2" t="s">
        <v>780</v>
      </c>
      <c r="I80" s="2" t="s">
        <v>732</v>
      </c>
      <c r="J80" s="2" t="s">
        <v>781</v>
      </c>
      <c r="K80" s="2" t="s">
        <v>782</v>
      </c>
      <c r="L80" s="2" t="s">
        <v>27</v>
      </c>
      <c r="M80" s="2" t="s">
        <v>30</v>
      </c>
      <c r="N80" s="2" t="s">
        <v>29</v>
      </c>
      <c r="O80" s="2" t="s">
        <v>96</v>
      </c>
      <c r="P80" s="2" t="s">
        <v>97</v>
      </c>
      <c r="Q80" s="2" t="s">
        <v>741</v>
      </c>
      <c r="R80" s="2" t="s">
        <v>742</v>
      </c>
      <c r="S80" s="2" t="s">
        <v>0</v>
      </c>
      <c r="T80" s="2" t="s">
        <v>0</v>
      </c>
      <c r="U80" s="2" t="s">
        <v>0</v>
      </c>
      <c r="V80" s="2" t="s">
        <v>0</v>
      </c>
      <c r="W80" s="2" t="s">
        <v>0</v>
      </c>
      <c r="X80" s="8" t="s">
        <v>0</v>
      </c>
      <c r="Y80" s="8" t="s">
        <v>0</v>
      </c>
      <c r="Z80" s="8" t="s">
        <v>0</v>
      </c>
      <c r="AA80" s="8" t="s">
        <v>0</v>
      </c>
      <c r="AB80" s="8" t="s">
        <v>0</v>
      </c>
      <c r="AC80" s="8" t="s">
        <v>0</v>
      </c>
      <c r="AD80" s="8" t="s">
        <v>0</v>
      </c>
      <c r="AE80" s="8" t="s">
        <v>0</v>
      </c>
      <c r="AF80" s="8" t="s">
        <v>0</v>
      </c>
      <c r="AG80" s="8" t="s">
        <v>0</v>
      </c>
      <c r="AH80" s="8" t="s">
        <v>0</v>
      </c>
    </row>
    <row r="81" spans="1:34" ht="22.5">
      <c r="A81" s="2" t="s">
        <v>92</v>
      </c>
      <c r="B81" s="2">
        <v>3</v>
      </c>
      <c r="C81" s="2" t="s">
        <v>779</v>
      </c>
      <c r="D81" s="2" t="s">
        <v>730</v>
      </c>
      <c r="E81" s="2" t="s">
        <v>108</v>
      </c>
      <c r="F81" s="2" t="s">
        <v>107</v>
      </c>
      <c r="G81" s="2" t="s">
        <v>0</v>
      </c>
      <c r="H81" s="2" t="s">
        <v>780</v>
      </c>
      <c r="I81" s="2" t="s">
        <v>732</v>
      </c>
      <c r="J81" s="2" t="s">
        <v>781</v>
      </c>
      <c r="K81" s="2" t="s">
        <v>782</v>
      </c>
      <c r="L81" s="2" t="s">
        <v>27</v>
      </c>
      <c r="M81" s="2" t="s">
        <v>30</v>
      </c>
      <c r="N81" s="2" t="s">
        <v>29</v>
      </c>
      <c r="O81" s="2" t="s">
        <v>109</v>
      </c>
      <c r="P81" s="2" t="s">
        <v>97</v>
      </c>
      <c r="Q81" s="2" t="s">
        <v>743</v>
      </c>
      <c r="R81" s="2" t="s">
        <v>744</v>
      </c>
      <c r="S81" s="2" t="s">
        <v>0</v>
      </c>
      <c r="T81" s="2" t="s">
        <v>0</v>
      </c>
      <c r="U81" s="2" t="s">
        <v>0</v>
      </c>
      <c r="V81" s="2" t="s">
        <v>0</v>
      </c>
      <c r="W81" s="2" t="s">
        <v>0</v>
      </c>
      <c r="X81" s="8" t="s">
        <v>0</v>
      </c>
      <c r="Y81" s="8" t="s">
        <v>0</v>
      </c>
      <c r="Z81" s="8" t="s">
        <v>0</v>
      </c>
      <c r="AA81" s="8" t="s">
        <v>0</v>
      </c>
      <c r="AB81" s="8" t="s">
        <v>0</v>
      </c>
      <c r="AC81" s="8" t="s">
        <v>0</v>
      </c>
      <c r="AD81" s="8" t="s">
        <v>0</v>
      </c>
      <c r="AE81" s="8" t="s">
        <v>0</v>
      </c>
      <c r="AF81" s="8" t="s">
        <v>0</v>
      </c>
      <c r="AG81" s="8" t="s">
        <v>0</v>
      </c>
      <c r="AH81" s="8" t="s">
        <v>0</v>
      </c>
    </row>
    <row r="82" spans="1:34" ht="22.5">
      <c r="A82" s="2" t="s">
        <v>92</v>
      </c>
      <c r="B82" s="2">
        <v>3</v>
      </c>
      <c r="C82" s="2" t="s">
        <v>779</v>
      </c>
      <c r="D82" s="2" t="s">
        <v>730</v>
      </c>
      <c r="E82" s="2" t="s">
        <v>115</v>
      </c>
      <c r="F82" s="2" t="s">
        <v>114</v>
      </c>
      <c r="G82" s="2" t="s">
        <v>0</v>
      </c>
      <c r="H82" s="2" t="s">
        <v>780</v>
      </c>
      <c r="I82" s="2" t="s">
        <v>732</v>
      </c>
      <c r="J82" s="2" t="s">
        <v>781</v>
      </c>
      <c r="K82" s="2" t="s">
        <v>782</v>
      </c>
      <c r="L82" s="2" t="s">
        <v>27</v>
      </c>
      <c r="M82" s="2" t="s">
        <v>30</v>
      </c>
      <c r="N82" s="2" t="s">
        <v>29</v>
      </c>
      <c r="O82" s="2" t="s">
        <v>116</v>
      </c>
      <c r="P82" s="2" t="s">
        <v>97</v>
      </c>
      <c r="Q82" s="2" t="s">
        <v>745</v>
      </c>
      <c r="R82" s="2" t="s">
        <v>746</v>
      </c>
      <c r="S82" s="2" t="s">
        <v>0</v>
      </c>
      <c r="T82" s="2" t="s">
        <v>0</v>
      </c>
      <c r="U82" s="2" t="s">
        <v>0</v>
      </c>
      <c r="V82" s="2" t="s">
        <v>0</v>
      </c>
      <c r="W82" s="2" t="s">
        <v>0</v>
      </c>
      <c r="X82" s="8" t="s">
        <v>0</v>
      </c>
      <c r="Y82" s="8" t="s">
        <v>0</v>
      </c>
      <c r="Z82" s="8" t="s">
        <v>0</v>
      </c>
      <c r="AA82" s="8" t="s">
        <v>0</v>
      </c>
      <c r="AB82" s="8" t="s">
        <v>0</v>
      </c>
      <c r="AC82" s="8" t="s">
        <v>0</v>
      </c>
      <c r="AD82" s="8" t="s">
        <v>0</v>
      </c>
      <c r="AE82" s="8" t="s">
        <v>0</v>
      </c>
      <c r="AF82" s="8" t="s">
        <v>0</v>
      </c>
      <c r="AG82" s="8" t="s">
        <v>0</v>
      </c>
      <c r="AH82" s="8" t="s">
        <v>0</v>
      </c>
    </row>
    <row r="83" spans="1:34" ht="22.5">
      <c r="A83" s="2" t="s">
        <v>121</v>
      </c>
      <c r="B83" s="2">
        <v>3</v>
      </c>
      <c r="C83" s="2" t="s">
        <v>779</v>
      </c>
      <c r="D83" s="2" t="s">
        <v>730</v>
      </c>
      <c r="E83" s="2" t="s">
        <v>123</v>
      </c>
      <c r="F83" s="2" t="s">
        <v>122</v>
      </c>
      <c r="G83" s="2" t="s">
        <v>0</v>
      </c>
      <c r="H83" s="2" t="s">
        <v>780</v>
      </c>
      <c r="I83" s="2" t="s">
        <v>732</v>
      </c>
      <c r="J83" s="2" t="s">
        <v>781</v>
      </c>
      <c r="K83" s="2" t="s">
        <v>782</v>
      </c>
      <c r="L83" s="2" t="s">
        <v>27</v>
      </c>
      <c r="M83" s="2" t="s">
        <v>30</v>
      </c>
      <c r="N83" s="2" t="s">
        <v>29</v>
      </c>
      <c r="O83" s="2" t="s">
        <v>124</v>
      </c>
      <c r="P83" s="2" t="s">
        <v>97</v>
      </c>
      <c r="Q83" s="2" t="s">
        <v>783</v>
      </c>
      <c r="R83" s="2" t="s">
        <v>784</v>
      </c>
      <c r="S83" s="2" t="s">
        <v>0</v>
      </c>
      <c r="T83" s="2" t="s">
        <v>0</v>
      </c>
      <c r="U83" s="2" t="s">
        <v>0</v>
      </c>
      <c r="V83" s="2" t="s">
        <v>0</v>
      </c>
      <c r="W83" s="2" t="s">
        <v>0</v>
      </c>
      <c r="X83" s="8" t="s">
        <v>0</v>
      </c>
      <c r="Y83" s="8" t="s">
        <v>0</v>
      </c>
      <c r="Z83" s="8" t="s">
        <v>0</v>
      </c>
      <c r="AA83" s="8" t="s">
        <v>0</v>
      </c>
      <c r="AB83" s="8" t="s">
        <v>0</v>
      </c>
      <c r="AC83" s="8" t="s">
        <v>0</v>
      </c>
      <c r="AD83" s="8" t="s">
        <v>0</v>
      </c>
      <c r="AE83" s="8" t="s">
        <v>0</v>
      </c>
      <c r="AF83" s="8" t="s">
        <v>0</v>
      </c>
      <c r="AG83" s="8" t="s">
        <v>0</v>
      </c>
      <c r="AH83" s="8" t="s">
        <v>0</v>
      </c>
    </row>
    <row r="84" spans="1:34" ht="22.5">
      <c r="A84" s="2" t="s">
        <v>121</v>
      </c>
      <c r="B84" s="2">
        <v>3</v>
      </c>
      <c r="C84" s="2" t="s">
        <v>779</v>
      </c>
      <c r="D84" s="2" t="s">
        <v>730</v>
      </c>
      <c r="E84" s="2" t="s">
        <v>130</v>
      </c>
      <c r="F84" s="2" t="s">
        <v>129</v>
      </c>
      <c r="G84" s="2" t="s">
        <v>0</v>
      </c>
      <c r="H84" s="2" t="s">
        <v>780</v>
      </c>
      <c r="I84" s="2" t="s">
        <v>732</v>
      </c>
      <c r="J84" s="2" t="s">
        <v>781</v>
      </c>
      <c r="K84" s="2" t="s">
        <v>782</v>
      </c>
      <c r="L84" s="2" t="s">
        <v>27</v>
      </c>
      <c r="M84" s="2" t="s">
        <v>30</v>
      </c>
      <c r="N84" s="2" t="s">
        <v>29</v>
      </c>
      <c r="O84" s="2" t="s">
        <v>131</v>
      </c>
      <c r="P84" s="2" t="s">
        <v>97</v>
      </c>
      <c r="Q84" s="2" t="s">
        <v>785</v>
      </c>
      <c r="R84" s="2" t="s">
        <v>786</v>
      </c>
      <c r="S84" s="2" t="s">
        <v>0</v>
      </c>
      <c r="T84" s="2" t="s">
        <v>0</v>
      </c>
      <c r="U84" s="2" t="s">
        <v>0</v>
      </c>
      <c r="V84" s="2" t="s">
        <v>0</v>
      </c>
      <c r="W84" s="2" t="s">
        <v>0</v>
      </c>
      <c r="X84" s="8" t="s">
        <v>0</v>
      </c>
      <c r="Y84" s="8" t="s">
        <v>0</v>
      </c>
      <c r="Z84" s="8" t="s">
        <v>0</v>
      </c>
      <c r="AA84" s="8" t="s">
        <v>0</v>
      </c>
      <c r="AB84" s="8" t="s">
        <v>0</v>
      </c>
      <c r="AC84" s="8" t="s">
        <v>0</v>
      </c>
      <c r="AD84" s="8" t="s">
        <v>0</v>
      </c>
      <c r="AE84" s="8" t="s">
        <v>0</v>
      </c>
      <c r="AF84" s="8" t="s">
        <v>0</v>
      </c>
      <c r="AG84" s="8" t="s">
        <v>0</v>
      </c>
      <c r="AH84" s="8" t="s">
        <v>0</v>
      </c>
    </row>
    <row r="85" spans="1:34" ht="22.5">
      <c r="A85" s="2" t="s">
        <v>121</v>
      </c>
      <c r="B85" s="2">
        <v>3</v>
      </c>
      <c r="C85" s="2" t="s">
        <v>779</v>
      </c>
      <c r="D85" s="2" t="s">
        <v>730</v>
      </c>
      <c r="E85" s="2" t="s">
        <v>137</v>
      </c>
      <c r="F85" s="2" t="s">
        <v>136</v>
      </c>
      <c r="G85" s="2" t="s">
        <v>0</v>
      </c>
      <c r="H85" s="2" t="s">
        <v>780</v>
      </c>
      <c r="I85" s="2" t="s">
        <v>732</v>
      </c>
      <c r="J85" s="2" t="s">
        <v>781</v>
      </c>
      <c r="K85" s="2" t="s">
        <v>782</v>
      </c>
      <c r="L85" s="2" t="s">
        <v>27</v>
      </c>
      <c r="M85" s="2" t="s">
        <v>30</v>
      </c>
      <c r="N85" s="2" t="s">
        <v>29</v>
      </c>
      <c r="O85" s="2" t="s">
        <v>138</v>
      </c>
      <c r="P85" s="2" t="s">
        <v>97</v>
      </c>
      <c r="Q85" s="2" t="s">
        <v>787</v>
      </c>
      <c r="R85" s="2" t="s">
        <v>788</v>
      </c>
      <c r="S85" s="2" t="s">
        <v>0</v>
      </c>
      <c r="T85" s="2" t="s">
        <v>0</v>
      </c>
      <c r="U85" s="2" t="s">
        <v>0</v>
      </c>
      <c r="V85" s="2" t="s">
        <v>0</v>
      </c>
      <c r="W85" s="2" t="s">
        <v>0</v>
      </c>
      <c r="X85" s="8" t="s">
        <v>0</v>
      </c>
      <c r="Y85" s="8" t="s">
        <v>0</v>
      </c>
      <c r="Z85" s="8" t="s">
        <v>0</v>
      </c>
      <c r="AA85" s="8" t="s">
        <v>0</v>
      </c>
      <c r="AB85" s="8" t="s">
        <v>0</v>
      </c>
      <c r="AC85" s="8" t="s">
        <v>0</v>
      </c>
      <c r="AD85" s="8" t="s">
        <v>0</v>
      </c>
      <c r="AE85" s="8" t="s">
        <v>0</v>
      </c>
      <c r="AF85" s="8" t="s">
        <v>0</v>
      </c>
      <c r="AG85" s="8" t="s">
        <v>0</v>
      </c>
      <c r="AH85" s="8" t="s">
        <v>0</v>
      </c>
    </row>
    <row r="86" spans="1:34" ht="22.5">
      <c r="A86" s="2" t="s">
        <v>92</v>
      </c>
      <c r="B86" s="2">
        <v>3</v>
      </c>
      <c r="C86" s="2" t="s">
        <v>779</v>
      </c>
      <c r="D86" s="2" t="s">
        <v>730</v>
      </c>
      <c r="E86" s="2" t="s">
        <v>144</v>
      </c>
      <c r="F86" s="2" t="s">
        <v>143</v>
      </c>
      <c r="G86" s="2" t="s">
        <v>0</v>
      </c>
      <c r="H86" s="2" t="s">
        <v>780</v>
      </c>
      <c r="I86" s="2" t="s">
        <v>732</v>
      </c>
      <c r="J86" s="2" t="s">
        <v>781</v>
      </c>
      <c r="K86" s="2" t="s">
        <v>782</v>
      </c>
      <c r="L86" s="2" t="s">
        <v>27</v>
      </c>
      <c r="M86" s="2" t="s">
        <v>30</v>
      </c>
      <c r="N86" s="2" t="s">
        <v>29</v>
      </c>
      <c r="O86" s="2" t="s">
        <v>145</v>
      </c>
      <c r="P86" s="2" t="s">
        <v>97</v>
      </c>
      <c r="Q86" s="2" t="s">
        <v>789</v>
      </c>
      <c r="R86" s="2" t="s">
        <v>790</v>
      </c>
      <c r="S86" s="2" t="s">
        <v>0</v>
      </c>
      <c r="T86" s="2" t="s">
        <v>0</v>
      </c>
      <c r="U86" s="2" t="s">
        <v>0</v>
      </c>
      <c r="V86" s="2" t="s">
        <v>0</v>
      </c>
      <c r="W86" s="2" t="s">
        <v>0</v>
      </c>
      <c r="X86" s="8" t="s">
        <v>0</v>
      </c>
      <c r="Y86" s="8" t="s">
        <v>0</v>
      </c>
      <c r="Z86" s="8" t="s">
        <v>0</v>
      </c>
      <c r="AA86" s="8" t="s">
        <v>0</v>
      </c>
      <c r="AB86" s="8" t="s">
        <v>0</v>
      </c>
      <c r="AC86" s="8" t="s">
        <v>0</v>
      </c>
      <c r="AD86" s="8" t="s">
        <v>0</v>
      </c>
      <c r="AE86" s="8" t="s">
        <v>0</v>
      </c>
      <c r="AF86" s="8" t="s">
        <v>0</v>
      </c>
      <c r="AG86" s="8" t="s">
        <v>0</v>
      </c>
      <c r="AH86" s="8" t="s">
        <v>0</v>
      </c>
    </row>
    <row r="87" spans="1:34" ht="22.5">
      <c r="A87" s="2" t="s">
        <v>121</v>
      </c>
      <c r="B87" s="2">
        <v>3</v>
      </c>
      <c r="C87" s="2" t="s">
        <v>779</v>
      </c>
      <c r="D87" s="2" t="s">
        <v>730</v>
      </c>
      <c r="E87" s="2" t="s">
        <v>152</v>
      </c>
      <c r="F87" s="2" t="s">
        <v>151</v>
      </c>
      <c r="G87" s="2" t="s">
        <v>0</v>
      </c>
      <c r="H87" s="2" t="s">
        <v>780</v>
      </c>
      <c r="I87" s="2" t="s">
        <v>732</v>
      </c>
      <c r="J87" s="2" t="s">
        <v>781</v>
      </c>
      <c r="K87" s="2" t="s">
        <v>782</v>
      </c>
      <c r="L87" s="2" t="s">
        <v>27</v>
      </c>
      <c r="M87" s="2" t="s">
        <v>30</v>
      </c>
      <c r="N87" s="2" t="s">
        <v>29</v>
      </c>
      <c r="O87" s="2" t="s">
        <v>153</v>
      </c>
      <c r="P87" s="2" t="s">
        <v>97</v>
      </c>
      <c r="Q87" s="2" t="s">
        <v>791</v>
      </c>
      <c r="R87" s="2" t="s">
        <v>792</v>
      </c>
      <c r="S87" s="2" t="s">
        <v>0</v>
      </c>
      <c r="T87" s="2" t="s">
        <v>0</v>
      </c>
      <c r="U87" s="2" t="s">
        <v>0</v>
      </c>
      <c r="V87" s="2" t="s">
        <v>0</v>
      </c>
      <c r="W87" s="2" t="s">
        <v>0</v>
      </c>
      <c r="X87" s="8" t="s">
        <v>0</v>
      </c>
      <c r="Y87" s="8" t="s">
        <v>0</v>
      </c>
      <c r="Z87" s="8" t="s">
        <v>0</v>
      </c>
      <c r="AA87" s="8" t="s">
        <v>0</v>
      </c>
      <c r="AB87" s="8" t="s">
        <v>0</v>
      </c>
      <c r="AC87" s="8" t="s">
        <v>0</v>
      </c>
      <c r="AD87" s="8" t="s">
        <v>0</v>
      </c>
      <c r="AE87" s="8" t="s">
        <v>0</v>
      </c>
      <c r="AF87" s="8" t="s">
        <v>0</v>
      </c>
      <c r="AG87" s="8" t="s">
        <v>0</v>
      </c>
      <c r="AH87" s="8" t="s">
        <v>0</v>
      </c>
    </row>
    <row r="88" spans="1:34" ht="22.5">
      <c r="A88" s="2" t="s">
        <v>92</v>
      </c>
      <c r="B88" s="2">
        <v>3</v>
      </c>
      <c r="C88" s="2" t="s">
        <v>779</v>
      </c>
      <c r="D88" s="2" t="s">
        <v>730</v>
      </c>
      <c r="E88" s="2" t="s">
        <v>159</v>
      </c>
      <c r="F88" s="2" t="s">
        <v>158</v>
      </c>
      <c r="G88" s="2" t="s">
        <v>0</v>
      </c>
      <c r="H88" s="2" t="s">
        <v>780</v>
      </c>
      <c r="I88" s="2" t="s">
        <v>732</v>
      </c>
      <c r="J88" s="2" t="s">
        <v>781</v>
      </c>
      <c r="K88" s="2" t="s">
        <v>782</v>
      </c>
      <c r="L88" s="2" t="s">
        <v>27</v>
      </c>
      <c r="M88" s="2" t="s">
        <v>30</v>
      </c>
      <c r="N88" s="2" t="s">
        <v>29</v>
      </c>
      <c r="O88" s="2" t="s">
        <v>160</v>
      </c>
      <c r="P88" s="2" t="s">
        <v>97</v>
      </c>
      <c r="Q88" s="2" t="s">
        <v>793</v>
      </c>
      <c r="R88" s="2" t="s">
        <v>794</v>
      </c>
      <c r="S88" s="2" t="s">
        <v>0</v>
      </c>
      <c r="T88" s="2" t="s">
        <v>0</v>
      </c>
      <c r="U88" s="2" t="s">
        <v>0</v>
      </c>
      <c r="V88" s="2" t="s">
        <v>0</v>
      </c>
      <c r="W88" s="2" t="s">
        <v>0</v>
      </c>
      <c r="X88" s="8" t="s">
        <v>0</v>
      </c>
      <c r="Y88" s="8" t="s">
        <v>0</v>
      </c>
      <c r="Z88" s="8" t="s">
        <v>0</v>
      </c>
      <c r="AA88" s="8" t="s">
        <v>0</v>
      </c>
      <c r="AB88" s="8" t="s">
        <v>0</v>
      </c>
      <c r="AC88" s="8" t="s">
        <v>0</v>
      </c>
      <c r="AD88" s="8" t="s">
        <v>0</v>
      </c>
      <c r="AE88" s="8" t="s">
        <v>0</v>
      </c>
      <c r="AF88" s="8" t="s">
        <v>0</v>
      </c>
      <c r="AG88" s="8" t="s">
        <v>0</v>
      </c>
      <c r="AH88" s="8" t="s">
        <v>0</v>
      </c>
    </row>
    <row r="89" spans="1:34" ht="22.5">
      <c r="A89" s="2" t="s">
        <v>121</v>
      </c>
      <c r="B89" s="2">
        <v>3</v>
      </c>
      <c r="C89" s="2" t="s">
        <v>779</v>
      </c>
      <c r="D89" s="2" t="s">
        <v>730</v>
      </c>
      <c r="E89" s="2" t="s">
        <v>165</v>
      </c>
      <c r="F89" s="2" t="s">
        <v>164</v>
      </c>
      <c r="G89" s="2" t="s">
        <v>0</v>
      </c>
      <c r="H89" s="2" t="s">
        <v>780</v>
      </c>
      <c r="I89" s="2" t="s">
        <v>732</v>
      </c>
      <c r="J89" s="2" t="s">
        <v>781</v>
      </c>
      <c r="K89" s="2" t="s">
        <v>782</v>
      </c>
      <c r="L89" s="2" t="s">
        <v>27</v>
      </c>
      <c r="M89" s="2" t="s">
        <v>30</v>
      </c>
      <c r="N89" s="2" t="s">
        <v>29</v>
      </c>
      <c r="O89" s="2" t="s">
        <v>166</v>
      </c>
      <c r="P89" s="2" t="s">
        <v>97</v>
      </c>
      <c r="Q89" s="2" t="s">
        <v>795</v>
      </c>
      <c r="R89" s="2" t="s">
        <v>796</v>
      </c>
      <c r="S89" s="2" t="s">
        <v>0</v>
      </c>
      <c r="T89" s="2" t="s">
        <v>0</v>
      </c>
      <c r="U89" s="2" t="s">
        <v>0</v>
      </c>
      <c r="V89" s="2" t="s">
        <v>0</v>
      </c>
      <c r="W89" s="2" t="s">
        <v>0</v>
      </c>
      <c r="X89" s="8" t="s">
        <v>0</v>
      </c>
      <c r="Y89" s="8" t="s">
        <v>0</v>
      </c>
      <c r="Z89" s="8" t="s">
        <v>0</v>
      </c>
      <c r="AA89" s="8" t="s">
        <v>0</v>
      </c>
      <c r="AB89" s="8" t="s">
        <v>0</v>
      </c>
      <c r="AC89" s="8" t="s">
        <v>0</v>
      </c>
      <c r="AD89" s="8" t="s">
        <v>0</v>
      </c>
      <c r="AE89" s="8" t="s">
        <v>0</v>
      </c>
      <c r="AF89" s="8" t="s">
        <v>0</v>
      </c>
      <c r="AG89" s="8" t="s">
        <v>0</v>
      </c>
      <c r="AH89" s="8" t="s">
        <v>0</v>
      </c>
    </row>
    <row r="90" spans="1:34" ht="22.5">
      <c r="A90" s="2" t="s">
        <v>121</v>
      </c>
      <c r="B90" s="2">
        <v>3</v>
      </c>
      <c r="C90" s="2" t="s">
        <v>779</v>
      </c>
      <c r="D90" s="2" t="s">
        <v>730</v>
      </c>
      <c r="E90" s="2" t="s">
        <v>172</v>
      </c>
      <c r="F90" s="2" t="s">
        <v>171</v>
      </c>
      <c r="G90" s="2" t="s">
        <v>0</v>
      </c>
      <c r="H90" s="2" t="s">
        <v>780</v>
      </c>
      <c r="I90" s="2" t="s">
        <v>732</v>
      </c>
      <c r="J90" s="2" t="s">
        <v>781</v>
      </c>
      <c r="K90" s="2" t="s">
        <v>782</v>
      </c>
      <c r="L90" s="2" t="s">
        <v>27</v>
      </c>
      <c r="M90" s="2" t="s">
        <v>30</v>
      </c>
      <c r="N90" s="2" t="s">
        <v>29</v>
      </c>
      <c r="O90" s="2" t="s">
        <v>173</v>
      </c>
      <c r="P90" s="2" t="s">
        <v>97</v>
      </c>
      <c r="Q90" s="2" t="s">
        <v>797</v>
      </c>
      <c r="R90" s="2" t="s">
        <v>798</v>
      </c>
      <c r="S90" s="2" t="s">
        <v>0</v>
      </c>
      <c r="T90" s="2" t="s">
        <v>0</v>
      </c>
      <c r="U90" s="2" t="s">
        <v>0</v>
      </c>
      <c r="V90" s="2" t="s">
        <v>0</v>
      </c>
      <c r="W90" s="2" t="s">
        <v>0</v>
      </c>
      <c r="X90" s="8" t="s">
        <v>0</v>
      </c>
      <c r="Y90" s="8" t="s">
        <v>0</v>
      </c>
      <c r="Z90" s="8" t="s">
        <v>0</v>
      </c>
      <c r="AA90" s="8" t="s">
        <v>0</v>
      </c>
      <c r="AB90" s="8" t="s">
        <v>0</v>
      </c>
      <c r="AC90" s="8" t="s">
        <v>0</v>
      </c>
      <c r="AD90" s="8" t="s">
        <v>0</v>
      </c>
      <c r="AE90" s="8" t="s">
        <v>0</v>
      </c>
      <c r="AF90" s="8" t="s">
        <v>0</v>
      </c>
      <c r="AG90" s="8" t="s">
        <v>0</v>
      </c>
      <c r="AH90" s="8" t="s">
        <v>0</v>
      </c>
    </row>
    <row r="91" spans="1:34" ht="22.5">
      <c r="A91" s="2" t="s">
        <v>121</v>
      </c>
      <c r="B91" s="2">
        <v>3</v>
      </c>
      <c r="C91" s="2" t="s">
        <v>779</v>
      </c>
      <c r="D91" s="2" t="s">
        <v>730</v>
      </c>
      <c r="E91" s="2" t="s">
        <v>179</v>
      </c>
      <c r="F91" s="2" t="s">
        <v>178</v>
      </c>
      <c r="G91" s="2" t="s">
        <v>0</v>
      </c>
      <c r="H91" s="2" t="s">
        <v>780</v>
      </c>
      <c r="I91" s="2" t="s">
        <v>732</v>
      </c>
      <c r="J91" s="2" t="s">
        <v>781</v>
      </c>
      <c r="K91" s="2" t="s">
        <v>782</v>
      </c>
      <c r="L91" s="2" t="s">
        <v>27</v>
      </c>
      <c r="M91" s="2" t="s">
        <v>30</v>
      </c>
      <c r="N91" s="2" t="s">
        <v>29</v>
      </c>
      <c r="O91" s="2" t="s">
        <v>180</v>
      </c>
      <c r="P91" s="2" t="s">
        <v>97</v>
      </c>
      <c r="Q91" s="2" t="s">
        <v>799</v>
      </c>
      <c r="R91" s="2" t="s">
        <v>800</v>
      </c>
      <c r="S91" s="2" t="s">
        <v>0</v>
      </c>
      <c r="T91" s="2" t="s">
        <v>0</v>
      </c>
      <c r="U91" s="2" t="s">
        <v>0</v>
      </c>
      <c r="V91" s="2" t="s">
        <v>0</v>
      </c>
      <c r="W91" s="2" t="s">
        <v>0</v>
      </c>
      <c r="X91" s="8" t="s">
        <v>0</v>
      </c>
      <c r="Y91" s="8" t="s">
        <v>0</v>
      </c>
      <c r="Z91" s="8" t="s">
        <v>0</v>
      </c>
      <c r="AA91" s="8" t="s">
        <v>0</v>
      </c>
      <c r="AB91" s="8" t="s">
        <v>0</v>
      </c>
      <c r="AC91" s="8" t="s">
        <v>0</v>
      </c>
      <c r="AD91" s="8" t="s">
        <v>0</v>
      </c>
      <c r="AE91" s="8" t="s">
        <v>0</v>
      </c>
      <c r="AF91" s="8" t="s">
        <v>0</v>
      </c>
      <c r="AG91" s="8" t="s">
        <v>0</v>
      </c>
      <c r="AH91" s="8" t="s">
        <v>0</v>
      </c>
    </row>
    <row r="92" spans="1:34" ht="22.5">
      <c r="A92" s="2" t="s">
        <v>121</v>
      </c>
      <c r="B92" s="2">
        <v>3</v>
      </c>
      <c r="C92" s="2" t="s">
        <v>779</v>
      </c>
      <c r="D92" s="2" t="s">
        <v>730</v>
      </c>
      <c r="E92" s="2" t="s">
        <v>186</v>
      </c>
      <c r="F92" s="2" t="s">
        <v>185</v>
      </c>
      <c r="G92" s="2" t="s">
        <v>0</v>
      </c>
      <c r="H92" s="2" t="s">
        <v>780</v>
      </c>
      <c r="I92" s="2" t="s">
        <v>732</v>
      </c>
      <c r="J92" s="2" t="s">
        <v>781</v>
      </c>
      <c r="K92" s="2" t="s">
        <v>782</v>
      </c>
      <c r="L92" s="2" t="s">
        <v>27</v>
      </c>
      <c r="M92" s="2" t="s">
        <v>30</v>
      </c>
      <c r="N92" s="2" t="s">
        <v>29</v>
      </c>
      <c r="O92" s="2" t="s">
        <v>187</v>
      </c>
      <c r="P92" s="2" t="s">
        <v>97</v>
      </c>
      <c r="Q92" s="2" t="s">
        <v>801</v>
      </c>
      <c r="R92" s="2" t="s">
        <v>802</v>
      </c>
      <c r="S92" s="2" t="s">
        <v>0</v>
      </c>
      <c r="T92" s="2" t="s">
        <v>0</v>
      </c>
      <c r="U92" s="2" t="s">
        <v>0</v>
      </c>
      <c r="V92" s="2" t="s">
        <v>0</v>
      </c>
      <c r="W92" s="2" t="s">
        <v>0</v>
      </c>
      <c r="X92" s="8" t="s">
        <v>0</v>
      </c>
      <c r="Y92" s="8" t="s">
        <v>0</v>
      </c>
      <c r="Z92" s="8" t="s">
        <v>0</v>
      </c>
      <c r="AA92" s="8" t="s">
        <v>0</v>
      </c>
      <c r="AB92" s="8" t="s">
        <v>0</v>
      </c>
      <c r="AC92" s="8" t="s">
        <v>0</v>
      </c>
      <c r="AD92" s="8" t="s">
        <v>0</v>
      </c>
      <c r="AE92" s="8" t="s">
        <v>0</v>
      </c>
      <c r="AF92" s="8" t="s">
        <v>0</v>
      </c>
      <c r="AG92" s="8" t="s">
        <v>0</v>
      </c>
      <c r="AH92" s="8" t="s">
        <v>0</v>
      </c>
    </row>
    <row r="93" spans="1:34" ht="22.5">
      <c r="A93" s="2" t="s">
        <v>121</v>
      </c>
      <c r="B93" s="2">
        <v>3</v>
      </c>
      <c r="C93" s="2" t="s">
        <v>779</v>
      </c>
      <c r="D93" s="2" t="s">
        <v>730</v>
      </c>
      <c r="E93" s="2" t="s">
        <v>193</v>
      </c>
      <c r="F93" s="2" t="s">
        <v>192</v>
      </c>
      <c r="G93" s="2" t="s">
        <v>0</v>
      </c>
      <c r="H93" s="2" t="s">
        <v>780</v>
      </c>
      <c r="I93" s="2" t="s">
        <v>732</v>
      </c>
      <c r="J93" s="2" t="s">
        <v>781</v>
      </c>
      <c r="K93" s="2" t="s">
        <v>782</v>
      </c>
      <c r="L93" s="2" t="s">
        <v>27</v>
      </c>
      <c r="M93" s="2" t="s">
        <v>30</v>
      </c>
      <c r="N93" s="2" t="s">
        <v>29</v>
      </c>
      <c r="O93" s="2" t="s">
        <v>194</v>
      </c>
      <c r="P93" s="2" t="s">
        <v>97</v>
      </c>
      <c r="Q93" s="2" t="s">
        <v>757</v>
      </c>
      <c r="R93" s="2" t="s">
        <v>758</v>
      </c>
      <c r="S93" s="2" t="s">
        <v>0</v>
      </c>
      <c r="T93" s="2" t="s">
        <v>0</v>
      </c>
      <c r="U93" s="2" t="s">
        <v>0</v>
      </c>
      <c r="V93" s="2" t="s">
        <v>0</v>
      </c>
      <c r="W93" s="2" t="s">
        <v>0</v>
      </c>
      <c r="X93" s="8" t="s">
        <v>0</v>
      </c>
      <c r="Y93" s="8" t="s">
        <v>0</v>
      </c>
      <c r="Z93" s="8" t="s">
        <v>0</v>
      </c>
      <c r="AA93" s="8" t="s">
        <v>0</v>
      </c>
      <c r="AB93" s="8" t="s">
        <v>0</v>
      </c>
      <c r="AC93" s="8" t="s">
        <v>0</v>
      </c>
      <c r="AD93" s="8" t="s">
        <v>0</v>
      </c>
      <c r="AE93" s="8" t="s">
        <v>0</v>
      </c>
      <c r="AF93" s="8" t="s">
        <v>0</v>
      </c>
      <c r="AG93" s="8" t="s">
        <v>0</v>
      </c>
      <c r="AH93" s="8" t="s">
        <v>0</v>
      </c>
    </row>
    <row r="94" spans="1:34" ht="22.5">
      <c r="A94" s="2" t="s">
        <v>92</v>
      </c>
      <c r="B94" s="2">
        <v>3</v>
      </c>
      <c r="C94" s="2" t="s">
        <v>779</v>
      </c>
      <c r="D94" s="2" t="s">
        <v>730</v>
      </c>
      <c r="E94" s="2" t="s">
        <v>200</v>
      </c>
      <c r="F94" s="2" t="s">
        <v>199</v>
      </c>
      <c r="G94" s="2" t="s">
        <v>0</v>
      </c>
      <c r="H94" s="2" t="s">
        <v>780</v>
      </c>
      <c r="I94" s="2" t="s">
        <v>732</v>
      </c>
      <c r="J94" s="2" t="s">
        <v>781</v>
      </c>
      <c r="K94" s="2" t="s">
        <v>782</v>
      </c>
      <c r="L94" s="2" t="s">
        <v>27</v>
      </c>
      <c r="M94" s="2" t="s">
        <v>30</v>
      </c>
      <c r="N94" s="2" t="s">
        <v>29</v>
      </c>
      <c r="O94" s="2" t="s">
        <v>201</v>
      </c>
      <c r="P94" s="2" t="s">
        <v>97</v>
      </c>
      <c r="Q94" s="2" t="s">
        <v>747</v>
      </c>
      <c r="R94" s="2" t="s">
        <v>748</v>
      </c>
      <c r="S94" s="2" t="s">
        <v>0</v>
      </c>
      <c r="T94" s="2" t="s">
        <v>0</v>
      </c>
      <c r="U94" s="2" t="s">
        <v>0</v>
      </c>
      <c r="V94" s="2" t="s">
        <v>0</v>
      </c>
      <c r="W94" s="2" t="s">
        <v>0</v>
      </c>
      <c r="X94" s="8" t="s">
        <v>0</v>
      </c>
      <c r="Y94" s="8" t="s">
        <v>0</v>
      </c>
      <c r="Z94" s="8" t="s">
        <v>0</v>
      </c>
      <c r="AA94" s="8" t="s">
        <v>0</v>
      </c>
      <c r="AB94" s="8" t="s">
        <v>0</v>
      </c>
      <c r="AC94" s="8" t="s">
        <v>0</v>
      </c>
      <c r="AD94" s="8" t="s">
        <v>0</v>
      </c>
      <c r="AE94" s="8" t="s">
        <v>0</v>
      </c>
      <c r="AF94" s="8" t="s">
        <v>0</v>
      </c>
      <c r="AG94" s="8" t="s">
        <v>0</v>
      </c>
      <c r="AH94" s="8" t="s">
        <v>0</v>
      </c>
    </row>
    <row r="95" spans="1:34" ht="22.5">
      <c r="A95" s="2" t="s">
        <v>92</v>
      </c>
      <c r="B95" s="2">
        <v>3</v>
      </c>
      <c r="C95" s="2" t="s">
        <v>779</v>
      </c>
      <c r="D95" s="2" t="s">
        <v>730</v>
      </c>
      <c r="E95" s="2" t="s">
        <v>207</v>
      </c>
      <c r="F95" s="2" t="s">
        <v>206</v>
      </c>
      <c r="G95" s="2" t="s">
        <v>0</v>
      </c>
      <c r="H95" s="2" t="s">
        <v>780</v>
      </c>
      <c r="I95" s="2" t="s">
        <v>732</v>
      </c>
      <c r="J95" s="2" t="s">
        <v>781</v>
      </c>
      <c r="K95" s="2" t="s">
        <v>782</v>
      </c>
      <c r="L95" s="2" t="s">
        <v>27</v>
      </c>
      <c r="M95" s="2" t="s">
        <v>30</v>
      </c>
      <c r="N95" s="2" t="s">
        <v>29</v>
      </c>
      <c r="O95" s="2" t="s">
        <v>208</v>
      </c>
      <c r="P95" s="2" t="s">
        <v>97</v>
      </c>
      <c r="Q95" s="2" t="s">
        <v>803</v>
      </c>
      <c r="R95" s="2" t="s">
        <v>804</v>
      </c>
      <c r="S95" s="2" t="s">
        <v>0</v>
      </c>
      <c r="T95" s="2" t="s">
        <v>0</v>
      </c>
      <c r="U95" s="2" t="s">
        <v>0</v>
      </c>
      <c r="V95" s="2" t="s">
        <v>0</v>
      </c>
      <c r="W95" s="2" t="s">
        <v>0</v>
      </c>
      <c r="X95" s="8" t="s">
        <v>0</v>
      </c>
      <c r="Y95" s="8" t="s">
        <v>0</v>
      </c>
      <c r="Z95" s="8" t="s">
        <v>0</v>
      </c>
      <c r="AA95" s="8" t="s">
        <v>0</v>
      </c>
      <c r="AB95" s="8" t="s">
        <v>0</v>
      </c>
      <c r="AC95" s="8" t="s">
        <v>0</v>
      </c>
      <c r="AD95" s="8" t="s">
        <v>0</v>
      </c>
      <c r="AE95" s="8" t="s">
        <v>0</v>
      </c>
      <c r="AF95" s="8" t="s">
        <v>0</v>
      </c>
      <c r="AG95" s="8" t="s">
        <v>0</v>
      </c>
      <c r="AH95" s="8" t="s">
        <v>0</v>
      </c>
    </row>
    <row r="96" spans="1:34" ht="22.5">
      <c r="A96" s="2" t="s">
        <v>121</v>
      </c>
      <c r="B96" s="2">
        <v>3</v>
      </c>
      <c r="C96" s="2" t="s">
        <v>779</v>
      </c>
      <c r="D96" s="2" t="s">
        <v>730</v>
      </c>
      <c r="E96" s="2" t="s">
        <v>214</v>
      </c>
      <c r="F96" s="2" t="s">
        <v>213</v>
      </c>
      <c r="G96" s="2" t="s">
        <v>0</v>
      </c>
      <c r="H96" s="2" t="s">
        <v>780</v>
      </c>
      <c r="I96" s="2" t="s">
        <v>732</v>
      </c>
      <c r="J96" s="2" t="s">
        <v>781</v>
      </c>
      <c r="K96" s="2" t="s">
        <v>782</v>
      </c>
      <c r="L96" s="2" t="s">
        <v>27</v>
      </c>
      <c r="M96" s="2" t="s">
        <v>30</v>
      </c>
      <c r="N96" s="2" t="s">
        <v>29</v>
      </c>
      <c r="O96" s="2" t="s">
        <v>215</v>
      </c>
      <c r="P96" s="2" t="s">
        <v>97</v>
      </c>
      <c r="Q96" s="2" t="s">
        <v>805</v>
      </c>
      <c r="R96" s="2" t="s">
        <v>806</v>
      </c>
      <c r="S96" s="2" t="s">
        <v>0</v>
      </c>
      <c r="T96" s="2" t="s">
        <v>0</v>
      </c>
      <c r="U96" s="2" t="s">
        <v>0</v>
      </c>
      <c r="V96" s="2" t="s">
        <v>0</v>
      </c>
      <c r="W96" s="2" t="s">
        <v>0</v>
      </c>
      <c r="X96" s="8" t="s">
        <v>0</v>
      </c>
      <c r="Y96" s="8" t="s">
        <v>0</v>
      </c>
      <c r="Z96" s="8" t="s">
        <v>0</v>
      </c>
      <c r="AA96" s="8" t="s">
        <v>0</v>
      </c>
      <c r="AB96" s="8" t="s">
        <v>0</v>
      </c>
      <c r="AC96" s="8" t="s">
        <v>0</v>
      </c>
      <c r="AD96" s="8" t="s">
        <v>0</v>
      </c>
      <c r="AE96" s="8" t="s">
        <v>0</v>
      </c>
      <c r="AF96" s="8" t="s">
        <v>0</v>
      </c>
      <c r="AG96" s="8" t="s">
        <v>0</v>
      </c>
      <c r="AH96" s="8" t="s">
        <v>0</v>
      </c>
    </row>
    <row r="97" spans="1:34" ht="22.5">
      <c r="A97" s="2" t="s">
        <v>121</v>
      </c>
      <c r="B97" s="2">
        <v>3</v>
      </c>
      <c r="C97" s="2" t="s">
        <v>779</v>
      </c>
      <c r="D97" s="2" t="s">
        <v>730</v>
      </c>
      <c r="E97" s="2" t="s">
        <v>221</v>
      </c>
      <c r="F97" s="2" t="s">
        <v>220</v>
      </c>
      <c r="G97" s="2" t="s">
        <v>0</v>
      </c>
      <c r="H97" s="2" t="s">
        <v>780</v>
      </c>
      <c r="I97" s="2" t="s">
        <v>732</v>
      </c>
      <c r="J97" s="2" t="s">
        <v>781</v>
      </c>
      <c r="K97" s="2" t="s">
        <v>782</v>
      </c>
      <c r="L97" s="2" t="s">
        <v>27</v>
      </c>
      <c r="M97" s="2" t="s">
        <v>30</v>
      </c>
      <c r="N97" s="2" t="s">
        <v>29</v>
      </c>
      <c r="O97" s="2" t="s">
        <v>222</v>
      </c>
      <c r="P97" s="2" t="s">
        <v>97</v>
      </c>
      <c r="Q97" s="2" t="s">
        <v>759</v>
      </c>
      <c r="R97" s="2" t="s">
        <v>760</v>
      </c>
      <c r="S97" s="2" t="s">
        <v>0</v>
      </c>
      <c r="T97" s="2" t="s">
        <v>0</v>
      </c>
      <c r="U97" s="2" t="s">
        <v>0</v>
      </c>
      <c r="V97" s="2" t="s">
        <v>0</v>
      </c>
      <c r="W97" s="2" t="s">
        <v>0</v>
      </c>
      <c r="X97" s="8" t="s">
        <v>0</v>
      </c>
      <c r="Y97" s="8" t="s">
        <v>0</v>
      </c>
      <c r="Z97" s="8" t="s">
        <v>0</v>
      </c>
      <c r="AA97" s="8" t="s">
        <v>0</v>
      </c>
      <c r="AB97" s="8" t="s">
        <v>0</v>
      </c>
      <c r="AC97" s="8" t="s">
        <v>0</v>
      </c>
      <c r="AD97" s="8" t="s">
        <v>0</v>
      </c>
      <c r="AE97" s="8" t="s">
        <v>0</v>
      </c>
      <c r="AF97" s="8" t="s">
        <v>0</v>
      </c>
      <c r="AG97" s="8" t="s">
        <v>0</v>
      </c>
      <c r="AH97" s="8" t="s">
        <v>0</v>
      </c>
    </row>
    <row r="98" spans="1:34" ht="22.5">
      <c r="A98" s="2" t="s">
        <v>121</v>
      </c>
      <c r="B98" s="2">
        <v>3</v>
      </c>
      <c r="C98" s="2" t="s">
        <v>779</v>
      </c>
      <c r="D98" s="2" t="s">
        <v>730</v>
      </c>
      <c r="E98" s="2" t="s">
        <v>228</v>
      </c>
      <c r="F98" s="2" t="s">
        <v>227</v>
      </c>
      <c r="G98" s="2" t="s">
        <v>0</v>
      </c>
      <c r="H98" s="2" t="s">
        <v>780</v>
      </c>
      <c r="I98" s="2" t="s">
        <v>732</v>
      </c>
      <c r="J98" s="2" t="s">
        <v>781</v>
      </c>
      <c r="K98" s="2" t="s">
        <v>782</v>
      </c>
      <c r="L98" s="2" t="s">
        <v>27</v>
      </c>
      <c r="M98" s="2" t="s">
        <v>30</v>
      </c>
      <c r="N98" s="2" t="s">
        <v>29</v>
      </c>
      <c r="O98" s="2" t="s">
        <v>229</v>
      </c>
      <c r="P98" s="2" t="s">
        <v>97</v>
      </c>
      <c r="Q98" s="2" t="s">
        <v>761</v>
      </c>
      <c r="R98" s="2" t="s">
        <v>762</v>
      </c>
      <c r="S98" s="2" t="s">
        <v>0</v>
      </c>
      <c r="T98" s="2" t="s">
        <v>0</v>
      </c>
      <c r="U98" s="2" t="s">
        <v>0</v>
      </c>
      <c r="V98" s="2" t="s">
        <v>0</v>
      </c>
      <c r="W98" s="2" t="s">
        <v>0</v>
      </c>
      <c r="X98" s="8" t="s">
        <v>0</v>
      </c>
      <c r="Y98" s="8" t="s">
        <v>0</v>
      </c>
      <c r="Z98" s="8" t="s">
        <v>0</v>
      </c>
      <c r="AA98" s="8" t="s">
        <v>0</v>
      </c>
      <c r="AB98" s="8" t="s">
        <v>0</v>
      </c>
      <c r="AC98" s="8" t="s">
        <v>0</v>
      </c>
      <c r="AD98" s="8" t="s">
        <v>0</v>
      </c>
      <c r="AE98" s="8" t="s">
        <v>0</v>
      </c>
      <c r="AF98" s="8" t="s">
        <v>0</v>
      </c>
      <c r="AG98" s="8" t="s">
        <v>0</v>
      </c>
      <c r="AH98" s="8" t="s">
        <v>0</v>
      </c>
    </row>
    <row r="99" spans="1:34" ht="22.5">
      <c r="A99" s="2" t="s">
        <v>121</v>
      </c>
      <c r="B99" s="2">
        <v>3</v>
      </c>
      <c r="C99" s="2" t="s">
        <v>779</v>
      </c>
      <c r="D99" s="2" t="s">
        <v>730</v>
      </c>
      <c r="E99" s="2" t="s">
        <v>234</v>
      </c>
      <c r="F99" s="2" t="s">
        <v>233</v>
      </c>
      <c r="G99" s="2" t="s">
        <v>0</v>
      </c>
      <c r="H99" s="2" t="s">
        <v>780</v>
      </c>
      <c r="I99" s="2" t="s">
        <v>732</v>
      </c>
      <c r="J99" s="2" t="s">
        <v>781</v>
      </c>
      <c r="K99" s="2" t="s">
        <v>782</v>
      </c>
      <c r="L99" s="2" t="s">
        <v>27</v>
      </c>
      <c r="M99" s="2" t="s">
        <v>30</v>
      </c>
      <c r="N99" s="2" t="s">
        <v>29</v>
      </c>
      <c r="O99" s="2" t="s">
        <v>235</v>
      </c>
      <c r="P99" s="2" t="s">
        <v>97</v>
      </c>
      <c r="Q99" s="2" t="s">
        <v>807</v>
      </c>
      <c r="R99" s="2" t="s">
        <v>808</v>
      </c>
      <c r="S99" s="2" t="s">
        <v>0</v>
      </c>
      <c r="T99" s="2" t="s">
        <v>0</v>
      </c>
      <c r="U99" s="2" t="s">
        <v>0</v>
      </c>
      <c r="V99" s="2" t="s">
        <v>0</v>
      </c>
      <c r="W99" s="2" t="s">
        <v>0</v>
      </c>
      <c r="X99" s="8" t="s">
        <v>0</v>
      </c>
      <c r="Y99" s="8" t="s">
        <v>0</v>
      </c>
      <c r="Z99" s="8" t="s">
        <v>0</v>
      </c>
      <c r="AA99" s="8" t="s">
        <v>0</v>
      </c>
      <c r="AB99" s="8" t="s">
        <v>0</v>
      </c>
      <c r="AC99" s="8" t="s">
        <v>0</v>
      </c>
      <c r="AD99" s="8" t="s">
        <v>0</v>
      </c>
      <c r="AE99" s="8" t="s">
        <v>0</v>
      </c>
      <c r="AF99" s="8" t="s">
        <v>0</v>
      </c>
      <c r="AG99" s="8" t="s">
        <v>0</v>
      </c>
      <c r="AH99" s="8" t="s">
        <v>0</v>
      </c>
    </row>
    <row r="100" spans="1:34" ht="22.5">
      <c r="A100" s="2" t="s">
        <v>121</v>
      </c>
      <c r="B100" s="2">
        <v>3</v>
      </c>
      <c r="C100" s="2" t="s">
        <v>779</v>
      </c>
      <c r="D100" s="2" t="s">
        <v>730</v>
      </c>
      <c r="E100" s="2" t="s">
        <v>241</v>
      </c>
      <c r="F100" s="2" t="s">
        <v>240</v>
      </c>
      <c r="G100" s="2" t="s">
        <v>0</v>
      </c>
      <c r="H100" s="2" t="s">
        <v>780</v>
      </c>
      <c r="I100" s="2" t="s">
        <v>732</v>
      </c>
      <c r="J100" s="2" t="s">
        <v>781</v>
      </c>
      <c r="K100" s="2" t="s">
        <v>782</v>
      </c>
      <c r="L100" s="2" t="s">
        <v>27</v>
      </c>
      <c r="M100" s="2" t="s">
        <v>30</v>
      </c>
      <c r="N100" s="2" t="s">
        <v>29</v>
      </c>
      <c r="O100" s="2" t="s">
        <v>242</v>
      </c>
      <c r="P100" s="2" t="s">
        <v>97</v>
      </c>
      <c r="Q100" s="2" t="s">
        <v>809</v>
      </c>
      <c r="R100" s="2" t="s">
        <v>810</v>
      </c>
      <c r="S100" s="2" t="s">
        <v>0</v>
      </c>
      <c r="T100" s="2" t="s">
        <v>0</v>
      </c>
      <c r="U100" s="2" t="s">
        <v>0</v>
      </c>
      <c r="V100" s="2" t="s">
        <v>0</v>
      </c>
      <c r="W100" s="2" t="s">
        <v>0</v>
      </c>
      <c r="X100" s="8" t="s">
        <v>0</v>
      </c>
      <c r="Y100" s="8" t="s">
        <v>0</v>
      </c>
      <c r="Z100" s="8" t="s">
        <v>0</v>
      </c>
      <c r="AA100" s="8" t="s">
        <v>0</v>
      </c>
      <c r="AB100" s="8" t="s">
        <v>0</v>
      </c>
      <c r="AC100" s="8" t="s">
        <v>0</v>
      </c>
      <c r="AD100" s="8" t="s">
        <v>0</v>
      </c>
      <c r="AE100" s="8" t="s">
        <v>0</v>
      </c>
      <c r="AF100" s="8" t="s">
        <v>0</v>
      </c>
      <c r="AG100" s="8" t="s">
        <v>0</v>
      </c>
      <c r="AH100" s="8" t="s">
        <v>0</v>
      </c>
    </row>
    <row r="101" spans="1:34" ht="22.5">
      <c r="A101" s="2" t="s">
        <v>121</v>
      </c>
      <c r="B101" s="2">
        <v>3</v>
      </c>
      <c r="C101" s="2" t="s">
        <v>779</v>
      </c>
      <c r="D101" s="2" t="s">
        <v>730</v>
      </c>
      <c r="E101" s="2" t="s">
        <v>247</v>
      </c>
      <c r="F101" s="2" t="s">
        <v>246</v>
      </c>
      <c r="G101" s="2" t="s">
        <v>0</v>
      </c>
      <c r="H101" s="2" t="s">
        <v>780</v>
      </c>
      <c r="I101" s="2" t="s">
        <v>732</v>
      </c>
      <c r="J101" s="2" t="s">
        <v>781</v>
      </c>
      <c r="K101" s="2" t="s">
        <v>782</v>
      </c>
      <c r="L101" s="2" t="s">
        <v>27</v>
      </c>
      <c r="M101" s="2" t="s">
        <v>30</v>
      </c>
      <c r="N101" s="2" t="s">
        <v>29</v>
      </c>
      <c r="O101" s="2" t="s">
        <v>31</v>
      </c>
      <c r="P101" s="2" t="s">
        <v>97</v>
      </c>
      <c r="Q101" s="2" t="s">
        <v>735</v>
      </c>
      <c r="R101" s="2" t="s">
        <v>736</v>
      </c>
      <c r="S101" s="2" t="s">
        <v>0</v>
      </c>
      <c r="T101" s="2" t="s">
        <v>0</v>
      </c>
      <c r="U101" s="2" t="s">
        <v>0</v>
      </c>
      <c r="V101" s="2" t="s">
        <v>0</v>
      </c>
      <c r="W101" s="2" t="s">
        <v>0</v>
      </c>
      <c r="X101" s="8" t="s">
        <v>0</v>
      </c>
      <c r="Y101" s="8" t="s">
        <v>0</v>
      </c>
      <c r="Z101" s="8" t="s">
        <v>0</v>
      </c>
      <c r="AA101" s="8" t="s">
        <v>0</v>
      </c>
      <c r="AB101" s="8" t="s">
        <v>0</v>
      </c>
      <c r="AC101" s="8" t="s">
        <v>0</v>
      </c>
      <c r="AD101" s="8" t="s">
        <v>0</v>
      </c>
      <c r="AE101" s="8" t="s">
        <v>0</v>
      </c>
      <c r="AF101" s="8" t="s">
        <v>0</v>
      </c>
      <c r="AG101" s="8" t="s">
        <v>0</v>
      </c>
      <c r="AH101" s="8" t="s">
        <v>0</v>
      </c>
    </row>
    <row r="102" spans="1:34" ht="22.5">
      <c r="A102" s="2" t="s">
        <v>92</v>
      </c>
      <c r="B102" s="2">
        <v>3</v>
      </c>
      <c r="C102" s="2" t="s">
        <v>779</v>
      </c>
      <c r="D102" s="2" t="s">
        <v>730</v>
      </c>
      <c r="E102" s="2" t="s">
        <v>253</v>
      </c>
      <c r="F102" s="2" t="s">
        <v>252</v>
      </c>
      <c r="G102" s="2" t="s">
        <v>0</v>
      </c>
      <c r="H102" s="2" t="s">
        <v>780</v>
      </c>
      <c r="I102" s="2" t="s">
        <v>732</v>
      </c>
      <c r="J102" s="2" t="s">
        <v>781</v>
      </c>
      <c r="K102" s="2" t="s">
        <v>782</v>
      </c>
      <c r="L102" s="2" t="s">
        <v>27</v>
      </c>
      <c r="M102" s="2" t="s">
        <v>30</v>
      </c>
      <c r="N102" s="2" t="s">
        <v>29</v>
      </c>
      <c r="O102" s="2" t="s">
        <v>254</v>
      </c>
      <c r="P102" s="2" t="s">
        <v>97</v>
      </c>
      <c r="Q102" s="2" t="s">
        <v>749</v>
      </c>
      <c r="R102" s="2" t="s">
        <v>750</v>
      </c>
      <c r="S102" s="2" t="s">
        <v>0</v>
      </c>
      <c r="T102" s="2" t="s">
        <v>0</v>
      </c>
      <c r="U102" s="2" t="s">
        <v>0</v>
      </c>
      <c r="V102" s="2" t="s">
        <v>0</v>
      </c>
      <c r="W102" s="2" t="s">
        <v>0</v>
      </c>
      <c r="X102" s="8" t="s">
        <v>0</v>
      </c>
      <c r="Y102" s="8" t="s">
        <v>0</v>
      </c>
      <c r="Z102" s="8" t="s">
        <v>0</v>
      </c>
      <c r="AA102" s="8" t="s">
        <v>0</v>
      </c>
      <c r="AB102" s="8" t="s">
        <v>0</v>
      </c>
      <c r="AC102" s="8" t="s">
        <v>0</v>
      </c>
      <c r="AD102" s="8" t="s">
        <v>0</v>
      </c>
      <c r="AE102" s="8" t="s">
        <v>0</v>
      </c>
      <c r="AF102" s="8" t="s">
        <v>0</v>
      </c>
      <c r="AG102" s="8" t="s">
        <v>0</v>
      </c>
      <c r="AH102" s="8" t="s">
        <v>0</v>
      </c>
    </row>
    <row r="103" spans="1:34" ht="22.5">
      <c r="A103" s="2" t="s">
        <v>92</v>
      </c>
      <c r="B103" s="2">
        <v>3</v>
      </c>
      <c r="C103" s="2" t="s">
        <v>779</v>
      </c>
      <c r="D103" s="2" t="s">
        <v>730</v>
      </c>
      <c r="E103" s="2" t="s">
        <v>260</v>
      </c>
      <c r="F103" s="2" t="s">
        <v>259</v>
      </c>
      <c r="G103" s="2" t="s">
        <v>0</v>
      </c>
      <c r="H103" s="2" t="s">
        <v>780</v>
      </c>
      <c r="I103" s="2" t="s">
        <v>732</v>
      </c>
      <c r="J103" s="2" t="s">
        <v>781</v>
      </c>
      <c r="K103" s="2" t="s">
        <v>782</v>
      </c>
      <c r="L103" s="2" t="s">
        <v>27</v>
      </c>
      <c r="M103" s="2" t="s">
        <v>30</v>
      </c>
      <c r="N103" s="2" t="s">
        <v>29</v>
      </c>
      <c r="O103" s="2" t="s">
        <v>261</v>
      </c>
      <c r="P103" s="2" t="s">
        <v>97</v>
      </c>
      <c r="Q103" s="2" t="s">
        <v>751</v>
      </c>
      <c r="R103" s="2" t="s">
        <v>752</v>
      </c>
      <c r="S103" s="2" t="s">
        <v>0</v>
      </c>
      <c r="T103" s="2" t="s">
        <v>0</v>
      </c>
      <c r="U103" s="2" t="s">
        <v>0</v>
      </c>
      <c r="V103" s="2" t="s">
        <v>0</v>
      </c>
      <c r="W103" s="2" t="s">
        <v>0</v>
      </c>
      <c r="X103" s="8" t="s">
        <v>0</v>
      </c>
      <c r="Y103" s="8" t="s">
        <v>0</v>
      </c>
      <c r="Z103" s="8" t="s">
        <v>0</v>
      </c>
      <c r="AA103" s="8" t="s">
        <v>0</v>
      </c>
      <c r="AB103" s="8" t="s">
        <v>0</v>
      </c>
      <c r="AC103" s="8" t="s">
        <v>0</v>
      </c>
      <c r="AD103" s="8" t="s">
        <v>0</v>
      </c>
      <c r="AE103" s="8" t="s">
        <v>0</v>
      </c>
      <c r="AF103" s="8" t="s">
        <v>0</v>
      </c>
      <c r="AG103" s="8" t="s">
        <v>0</v>
      </c>
      <c r="AH103" s="8" t="s">
        <v>0</v>
      </c>
    </row>
    <row r="104" spans="1:34" ht="22.5">
      <c r="A104" s="2" t="s">
        <v>121</v>
      </c>
      <c r="B104" s="2">
        <v>3</v>
      </c>
      <c r="C104" s="2" t="s">
        <v>779</v>
      </c>
      <c r="D104" s="2" t="s">
        <v>730</v>
      </c>
      <c r="E104" s="2" t="s">
        <v>267</v>
      </c>
      <c r="F104" s="2" t="s">
        <v>266</v>
      </c>
      <c r="G104" s="2" t="s">
        <v>0</v>
      </c>
      <c r="H104" s="2" t="s">
        <v>780</v>
      </c>
      <c r="I104" s="2" t="s">
        <v>732</v>
      </c>
      <c r="J104" s="2" t="s">
        <v>781</v>
      </c>
      <c r="K104" s="2" t="s">
        <v>782</v>
      </c>
      <c r="L104" s="2" t="s">
        <v>27</v>
      </c>
      <c r="M104" s="2" t="s">
        <v>30</v>
      </c>
      <c r="N104" s="2" t="s">
        <v>29</v>
      </c>
      <c r="O104" s="2" t="s">
        <v>268</v>
      </c>
      <c r="P104" s="2" t="s">
        <v>97</v>
      </c>
      <c r="Q104" s="2" t="s">
        <v>773</v>
      </c>
      <c r="R104" s="2" t="s">
        <v>774</v>
      </c>
      <c r="S104" s="2" t="s">
        <v>0</v>
      </c>
      <c r="T104" s="2" t="s">
        <v>0</v>
      </c>
      <c r="U104" s="2" t="s">
        <v>0</v>
      </c>
      <c r="V104" s="2" t="s">
        <v>0</v>
      </c>
      <c r="W104" s="2" t="s">
        <v>0</v>
      </c>
      <c r="X104" s="8" t="s">
        <v>0</v>
      </c>
      <c r="Y104" s="8" t="s">
        <v>0</v>
      </c>
      <c r="Z104" s="8" t="s">
        <v>0</v>
      </c>
      <c r="AA104" s="8" t="s">
        <v>0</v>
      </c>
      <c r="AB104" s="8" t="s">
        <v>0</v>
      </c>
      <c r="AC104" s="8" t="s">
        <v>0</v>
      </c>
      <c r="AD104" s="8" t="s">
        <v>0</v>
      </c>
      <c r="AE104" s="8" t="s">
        <v>0</v>
      </c>
      <c r="AF104" s="8" t="s">
        <v>0</v>
      </c>
      <c r="AG104" s="8" t="s">
        <v>0</v>
      </c>
      <c r="AH104" s="8" t="s">
        <v>0</v>
      </c>
    </row>
    <row r="105" spans="1:34" ht="22.5">
      <c r="A105" s="2" t="s">
        <v>121</v>
      </c>
      <c r="B105" s="2">
        <v>3</v>
      </c>
      <c r="C105" s="2" t="s">
        <v>779</v>
      </c>
      <c r="D105" s="2" t="s">
        <v>730</v>
      </c>
      <c r="E105" s="2" t="s">
        <v>272</v>
      </c>
      <c r="F105" s="2" t="s">
        <v>271</v>
      </c>
      <c r="G105" s="2" t="s">
        <v>0</v>
      </c>
      <c r="H105" s="2" t="s">
        <v>780</v>
      </c>
      <c r="I105" s="2" t="s">
        <v>732</v>
      </c>
      <c r="J105" s="2" t="s">
        <v>781</v>
      </c>
      <c r="K105" s="2" t="s">
        <v>782</v>
      </c>
      <c r="L105" s="2" t="s">
        <v>27</v>
      </c>
      <c r="M105" s="2" t="s">
        <v>30</v>
      </c>
      <c r="N105" s="2" t="s">
        <v>29</v>
      </c>
      <c r="O105" s="2" t="s">
        <v>273</v>
      </c>
      <c r="P105" s="2" t="s">
        <v>97</v>
      </c>
      <c r="Q105" s="2" t="s">
        <v>811</v>
      </c>
      <c r="R105" s="2" t="s">
        <v>812</v>
      </c>
      <c r="S105" s="2" t="s">
        <v>0</v>
      </c>
      <c r="T105" s="2" t="s">
        <v>0</v>
      </c>
      <c r="U105" s="2" t="s">
        <v>0</v>
      </c>
      <c r="V105" s="2" t="s">
        <v>0</v>
      </c>
      <c r="W105" s="2" t="s">
        <v>0</v>
      </c>
      <c r="X105" s="8" t="s">
        <v>0</v>
      </c>
      <c r="Y105" s="8" t="s">
        <v>0</v>
      </c>
      <c r="Z105" s="8" t="s">
        <v>0</v>
      </c>
      <c r="AA105" s="8" t="s">
        <v>0</v>
      </c>
      <c r="AB105" s="8" t="s">
        <v>0</v>
      </c>
      <c r="AC105" s="8" t="s">
        <v>0</v>
      </c>
      <c r="AD105" s="8" t="s">
        <v>0</v>
      </c>
      <c r="AE105" s="8" t="s">
        <v>0</v>
      </c>
      <c r="AF105" s="8" t="s">
        <v>0</v>
      </c>
      <c r="AG105" s="8" t="s">
        <v>0</v>
      </c>
      <c r="AH105" s="8" t="s">
        <v>0</v>
      </c>
    </row>
    <row r="106" spans="1:34" ht="22.5">
      <c r="A106" s="2" t="s">
        <v>121</v>
      </c>
      <c r="B106" s="2">
        <v>3</v>
      </c>
      <c r="C106" s="2" t="s">
        <v>779</v>
      </c>
      <c r="D106" s="2" t="s">
        <v>730</v>
      </c>
      <c r="E106" s="2" t="s">
        <v>280</v>
      </c>
      <c r="F106" s="2" t="s">
        <v>279</v>
      </c>
      <c r="G106" s="2" t="s">
        <v>0</v>
      </c>
      <c r="H106" s="2" t="s">
        <v>780</v>
      </c>
      <c r="I106" s="2" t="s">
        <v>732</v>
      </c>
      <c r="J106" s="2" t="s">
        <v>781</v>
      </c>
      <c r="K106" s="2" t="s">
        <v>782</v>
      </c>
      <c r="L106" s="2" t="s">
        <v>27</v>
      </c>
      <c r="M106" s="2" t="s">
        <v>30</v>
      </c>
      <c r="N106" s="2" t="s">
        <v>29</v>
      </c>
      <c r="O106" s="2" t="s">
        <v>281</v>
      </c>
      <c r="P106" s="2" t="s">
        <v>97</v>
      </c>
      <c r="Q106" s="2" t="s">
        <v>813</v>
      </c>
      <c r="R106" s="2" t="s">
        <v>814</v>
      </c>
      <c r="S106" s="2" t="s">
        <v>0</v>
      </c>
      <c r="T106" s="2" t="s">
        <v>0</v>
      </c>
      <c r="U106" s="2" t="s">
        <v>0</v>
      </c>
      <c r="V106" s="2" t="s">
        <v>0</v>
      </c>
      <c r="W106" s="2" t="s">
        <v>0</v>
      </c>
      <c r="X106" s="8" t="s">
        <v>0</v>
      </c>
      <c r="Y106" s="8" t="s">
        <v>0</v>
      </c>
      <c r="Z106" s="8" t="s">
        <v>0</v>
      </c>
      <c r="AA106" s="8" t="s">
        <v>0</v>
      </c>
      <c r="AB106" s="8" t="s">
        <v>0</v>
      </c>
      <c r="AC106" s="8" t="s">
        <v>0</v>
      </c>
      <c r="AD106" s="8" t="s">
        <v>0</v>
      </c>
      <c r="AE106" s="8" t="s">
        <v>0</v>
      </c>
      <c r="AF106" s="8" t="s">
        <v>0</v>
      </c>
      <c r="AG106" s="8" t="s">
        <v>0</v>
      </c>
      <c r="AH106" s="8" t="s">
        <v>0</v>
      </c>
    </row>
    <row r="107" spans="1:34" ht="22.5">
      <c r="A107" s="2" t="s">
        <v>121</v>
      </c>
      <c r="B107" s="2">
        <v>3</v>
      </c>
      <c r="C107" s="2" t="s">
        <v>779</v>
      </c>
      <c r="D107" s="2" t="s">
        <v>730</v>
      </c>
      <c r="E107" s="2" t="s">
        <v>286</v>
      </c>
      <c r="F107" s="2" t="s">
        <v>285</v>
      </c>
      <c r="G107" s="2" t="s">
        <v>0</v>
      </c>
      <c r="H107" s="2" t="s">
        <v>780</v>
      </c>
      <c r="I107" s="2" t="s">
        <v>732</v>
      </c>
      <c r="J107" s="2" t="s">
        <v>781</v>
      </c>
      <c r="K107" s="2" t="s">
        <v>782</v>
      </c>
      <c r="L107" s="2" t="s">
        <v>27</v>
      </c>
      <c r="M107" s="2" t="s">
        <v>30</v>
      </c>
      <c r="N107" s="2" t="s">
        <v>29</v>
      </c>
      <c r="O107" s="2" t="s">
        <v>287</v>
      </c>
      <c r="P107" s="2" t="s">
        <v>97</v>
      </c>
      <c r="Q107" s="2" t="s">
        <v>815</v>
      </c>
      <c r="R107" s="2" t="s">
        <v>816</v>
      </c>
      <c r="S107" s="2" t="s">
        <v>0</v>
      </c>
      <c r="T107" s="2" t="s">
        <v>0</v>
      </c>
      <c r="U107" s="2" t="s">
        <v>0</v>
      </c>
      <c r="V107" s="2" t="s">
        <v>0</v>
      </c>
      <c r="W107" s="2" t="s">
        <v>0</v>
      </c>
      <c r="X107" s="8" t="s">
        <v>0</v>
      </c>
      <c r="Y107" s="8" t="s">
        <v>0</v>
      </c>
      <c r="Z107" s="8" t="s">
        <v>0</v>
      </c>
      <c r="AA107" s="8" t="s">
        <v>0</v>
      </c>
      <c r="AB107" s="8" t="s">
        <v>0</v>
      </c>
      <c r="AC107" s="8" t="s">
        <v>0</v>
      </c>
      <c r="AD107" s="8" t="s">
        <v>0</v>
      </c>
      <c r="AE107" s="8" t="s">
        <v>0</v>
      </c>
      <c r="AF107" s="8" t="s">
        <v>0</v>
      </c>
      <c r="AG107" s="8" t="s">
        <v>0</v>
      </c>
      <c r="AH107" s="8" t="s">
        <v>0</v>
      </c>
    </row>
    <row r="108" spans="1:34" ht="22.5">
      <c r="A108" s="2" t="s">
        <v>121</v>
      </c>
      <c r="B108" s="2">
        <v>3</v>
      </c>
      <c r="C108" s="2" t="s">
        <v>779</v>
      </c>
      <c r="D108" s="2" t="s">
        <v>730</v>
      </c>
      <c r="E108" s="2" t="s">
        <v>293</v>
      </c>
      <c r="F108" s="2" t="s">
        <v>292</v>
      </c>
      <c r="G108" s="2" t="s">
        <v>0</v>
      </c>
      <c r="H108" s="2" t="s">
        <v>780</v>
      </c>
      <c r="I108" s="2" t="s">
        <v>732</v>
      </c>
      <c r="J108" s="2" t="s">
        <v>781</v>
      </c>
      <c r="K108" s="2" t="s">
        <v>782</v>
      </c>
      <c r="L108" s="2" t="s">
        <v>27</v>
      </c>
      <c r="M108" s="2" t="s">
        <v>30</v>
      </c>
      <c r="N108" s="2" t="s">
        <v>29</v>
      </c>
      <c r="O108" s="2" t="s">
        <v>294</v>
      </c>
      <c r="P108" s="2" t="s">
        <v>97</v>
      </c>
      <c r="Q108" s="2" t="s">
        <v>775</v>
      </c>
      <c r="R108" s="2" t="s">
        <v>776</v>
      </c>
      <c r="S108" s="2" t="s">
        <v>0</v>
      </c>
      <c r="T108" s="2" t="s">
        <v>0</v>
      </c>
      <c r="U108" s="2" t="s">
        <v>0</v>
      </c>
      <c r="V108" s="2" t="s">
        <v>0</v>
      </c>
      <c r="W108" s="2" t="s">
        <v>0</v>
      </c>
      <c r="X108" s="8" t="s">
        <v>0</v>
      </c>
      <c r="Y108" s="8" t="s">
        <v>0</v>
      </c>
      <c r="Z108" s="8" t="s">
        <v>0</v>
      </c>
      <c r="AA108" s="8" t="s">
        <v>0</v>
      </c>
      <c r="AB108" s="8" t="s">
        <v>0</v>
      </c>
      <c r="AC108" s="8" t="s">
        <v>0</v>
      </c>
      <c r="AD108" s="8" t="s">
        <v>0</v>
      </c>
      <c r="AE108" s="8" t="s">
        <v>0</v>
      </c>
      <c r="AF108" s="8" t="s">
        <v>0</v>
      </c>
      <c r="AG108" s="8" t="s">
        <v>0</v>
      </c>
      <c r="AH108" s="8" t="s">
        <v>0</v>
      </c>
    </row>
    <row r="109" spans="1:34" ht="22.5">
      <c r="A109" s="2" t="s">
        <v>121</v>
      </c>
      <c r="B109" s="2">
        <v>3</v>
      </c>
      <c r="C109" s="2" t="s">
        <v>779</v>
      </c>
      <c r="D109" s="2" t="s">
        <v>730</v>
      </c>
      <c r="E109" s="2" t="s">
        <v>299</v>
      </c>
      <c r="F109" s="2" t="s">
        <v>298</v>
      </c>
      <c r="G109" s="2" t="s">
        <v>0</v>
      </c>
      <c r="H109" s="2" t="s">
        <v>780</v>
      </c>
      <c r="I109" s="2" t="s">
        <v>732</v>
      </c>
      <c r="J109" s="2" t="s">
        <v>781</v>
      </c>
      <c r="K109" s="2" t="s">
        <v>782</v>
      </c>
      <c r="L109" s="2" t="s">
        <v>27</v>
      </c>
      <c r="M109" s="2" t="s">
        <v>30</v>
      </c>
      <c r="N109" s="2" t="s">
        <v>29</v>
      </c>
      <c r="O109" s="2" t="s">
        <v>300</v>
      </c>
      <c r="P109" s="2" t="s">
        <v>97</v>
      </c>
      <c r="Q109" s="2" t="s">
        <v>817</v>
      </c>
      <c r="R109" s="2" t="s">
        <v>818</v>
      </c>
      <c r="S109" s="2" t="s">
        <v>0</v>
      </c>
      <c r="T109" s="2" t="s">
        <v>0</v>
      </c>
      <c r="U109" s="2" t="s">
        <v>0</v>
      </c>
      <c r="V109" s="2" t="s">
        <v>0</v>
      </c>
      <c r="W109" s="2" t="s">
        <v>0</v>
      </c>
      <c r="X109" s="8" t="s">
        <v>0</v>
      </c>
      <c r="Y109" s="8" t="s">
        <v>0</v>
      </c>
      <c r="Z109" s="8" t="s">
        <v>0</v>
      </c>
      <c r="AA109" s="8" t="s">
        <v>0</v>
      </c>
      <c r="AB109" s="8" t="s">
        <v>0</v>
      </c>
      <c r="AC109" s="8" t="s">
        <v>0</v>
      </c>
      <c r="AD109" s="8" t="s">
        <v>0</v>
      </c>
      <c r="AE109" s="8" t="s">
        <v>0</v>
      </c>
      <c r="AF109" s="8" t="s">
        <v>0</v>
      </c>
      <c r="AG109" s="8" t="s">
        <v>0</v>
      </c>
      <c r="AH109" s="8" t="s">
        <v>0</v>
      </c>
    </row>
    <row r="110" spans="1:34" ht="22.5">
      <c r="A110" s="2" t="s">
        <v>92</v>
      </c>
      <c r="B110" s="2">
        <v>3</v>
      </c>
      <c r="C110" s="2" t="s">
        <v>779</v>
      </c>
      <c r="D110" s="2" t="s">
        <v>730</v>
      </c>
      <c r="E110" s="2" t="s">
        <v>306</v>
      </c>
      <c r="F110" s="2" t="s">
        <v>305</v>
      </c>
      <c r="G110" s="2" t="s">
        <v>0</v>
      </c>
      <c r="H110" s="2" t="s">
        <v>780</v>
      </c>
      <c r="I110" s="2" t="s">
        <v>732</v>
      </c>
      <c r="J110" s="2" t="s">
        <v>781</v>
      </c>
      <c r="K110" s="2" t="s">
        <v>782</v>
      </c>
      <c r="L110" s="2" t="s">
        <v>27</v>
      </c>
      <c r="M110" s="2" t="s">
        <v>30</v>
      </c>
      <c r="N110" s="2" t="s">
        <v>29</v>
      </c>
      <c r="O110" s="2" t="s">
        <v>307</v>
      </c>
      <c r="P110" s="2" t="s">
        <v>97</v>
      </c>
      <c r="Q110" s="2" t="s">
        <v>777</v>
      </c>
      <c r="R110" s="2" t="s">
        <v>778</v>
      </c>
      <c r="S110" s="2" t="s">
        <v>0</v>
      </c>
      <c r="T110" s="2" t="s">
        <v>0</v>
      </c>
      <c r="U110" s="2" t="s">
        <v>0</v>
      </c>
      <c r="V110" s="2" t="s">
        <v>0</v>
      </c>
      <c r="W110" s="2" t="s">
        <v>0</v>
      </c>
      <c r="X110" s="8" t="s">
        <v>0</v>
      </c>
      <c r="Y110" s="8" t="s">
        <v>0</v>
      </c>
      <c r="Z110" s="8" t="s">
        <v>0</v>
      </c>
      <c r="AA110" s="8" t="s">
        <v>0</v>
      </c>
      <c r="AB110" s="8" t="s">
        <v>0</v>
      </c>
      <c r="AC110" s="8" t="s">
        <v>0</v>
      </c>
      <c r="AD110" s="8" t="s">
        <v>0</v>
      </c>
      <c r="AE110" s="8" t="s">
        <v>0</v>
      </c>
      <c r="AF110" s="8" t="s">
        <v>0</v>
      </c>
      <c r="AG110" s="8" t="s">
        <v>0</v>
      </c>
      <c r="AH110" s="8" t="s">
        <v>0</v>
      </c>
    </row>
    <row r="111" spans="1:34" ht="22.5">
      <c r="A111" s="2" t="s">
        <v>92</v>
      </c>
      <c r="B111" s="2">
        <v>3</v>
      </c>
      <c r="C111" s="2" t="s">
        <v>779</v>
      </c>
      <c r="D111" s="2" t="s">
        <v>730</v>
      </c>
      <c r="E111" s="2" t="s">
        <v>312</v>
      </c>
      <c r="F111" s="2" t="s">
        <v>311</v>
      </c>
      <c r="G111" s="2" t="s">
        <v>0</v>
      </c>
      <c r="H111" s="2" t="s">
        <v>780</v>
      </c>
      <c r="I111" s="2" t="s">
        <v>732</v>
      </c>
      <c r="J111" s="2" t="s">
        <v>781</v>
      </c>
      <c r="K111" s="2" t="s">
        <v>782</v>
      </c>
      <c r="L111" s="2" t="s">
        <v>27</v>
      </c>
      <c r="M111" s="2" t="s">
        <v>30</v>
      </c>
      <c r="N111" s="2" t="s">
        <v>29</v>
      </c>
      <c r="O111" s="2" t="s">
        <v>313</v>
      </c>
      <c r="P111" s="2" t="s">
        <v>97</v>
      </c>
      <c r="Q111" s="2" t="s">
        <v>819</v>
      </c>
      <c r="R111" s="2" t="s">
        <v>820</v>
      </c>
      <c r="S111" s="2" t="s">
        <v>0</v>
      </c>
      <c r="T111" s="2" t="s">
        <v>0</v>
      </c>
      <c r="U111" s="2" t="s">
        <v>0</v>
      </c>
      <c r="V111" s="2" t="s">
        <v>0</v>
      </c>
      <c r="W111" s="2" t="s">
        <v>0</v>
      </c>
      <c r="X111" s="8" t="s">
        <v>0</v>
      </c>
      <c r="Y111" s="8" t="s">
        <v>0</v>
      </c>
      <c r="Z111" s="8" t="s">
        <v>0</v>
      </c>
      <c r="AA111" s="8" t="s">
        <v>0</v>
      </c>
      <c r="AB111" s="8" t="s">
        <v>0</v>
      </c>
      <c r="AC111" s="8" t="s">
        <v>0</v>
      </c>
      <c r="AD111" s="8" t="s">
        <v>0</v>
      </c>
      <c r="AE111" s="8" t="s">
        <v>0</v>
      </c>
      <c r="AF111" s="8" t="s">
        <v>0</v>
      </c>
      <c r="AG111" s="8" t="s">
        <v>0</v>
      </c>
      <c r="AH111" s="8" t="s">
        <v>0</v>
      </c>
    </row>
    <row r="112" spans="1:34" ht="22.5">
      <c r="A112" s="2" t="s">
        <v>121</v>
      </c>
      <c r="B112" s="2">
        <v>3</v>
      </c>
      <c r="C112" s="2" t="s">
        <v>779</v>
      </c>
      <c r="D112" s="2" t="s">
        <v>730</v>
      </c>
      <c r="E112" s="2" t="s">
        <v>316</v>
      </c>
      <c r="F112" s="2" t="s">
        <v>315</v>
      </c>
      <c r="G112" s="2" t="s">
        <v>0</v>
      </c>
      <c r="H112" s="2" t="s">
        <v>780</v>
      </c>
      <c r="I112" s="2" t="s">
        <v>732</v>
      </c>
      <c r="J112" s="2" t="s">
        <v>781</v>
      </c>
      <c r="K112" s="2" t="s">
        <v>782</v>
      </c>
      <c r="L112" s="2" t="s">
        <v>27</v>
      </c>
      <c r="M112" s="2" t="s">
        <v>30</v>
      </c>
      <c r="N112" s="2" t="s">
        <v>29</v>
      </c>
      <c r="O112" s="2" t="s">
        <v>317</v>
      </c>
      <c r="P112" s="2" t="s">
        <v>97</v>
      </c>
      <c r="Q112" s="2" t="s">
        <v>821</v>
      </c>
      <c r="R112" s="2" t="s">
        <v>822</v>
      </c>
      <c r="S112" s="2" t="s">
        <v>0</v>
      </c>
      <c r="T112" s="2" t="s">
        <v>0</v>
      </c>
      <c r="U112" s="2" t="s">
        <v>0</v>
      </c>
      <c r="V112" s="2" t="s">
        <v>0</v>
      </c>
      <c r="W112" s="2" t="s">
        <v>0</v>
      </c>
      <c r="X112" s="8" t="s">
        <v>0</v>
      </c>
      <c r="Y112" s="8" t="s">
        <v>0</v>
      </c>
      <c r="Z112" s="8" t="s">
        <v>0</v>
      </c>
      <c r="AA112" s="8" t="s">
        <v>0</v>
      </c>
      <c r="AB112" s="8" t="s">
        <v>0</v>
      </c>
      <c r="AC112" s="8" t="s">
        <v>0</v>
      </c>
      <c r="AD112" s="8" t="s">
        <v>0</v>
      </c>
      <c r="AE112" s="8" t="s">
        <v>0</v>
      </c>
      <c r="AF112" s="8" t="s">
        <v>0</v>
      </c>
      <c r="AG112" s="8" t="s">
        <v>0</v>
      </c>
      <c r="AH112" s="8" t="s">
        <v>0</v>
      </c>
    </row>
    <row r="113" spans="1:34" ht="22.5">
      <c r="A113" s="2" t="s">
        <v>121</v>
      </c>
      <c r="B113" s="2">
        <v>3</v>
      </c>
      <c r="C113" s="2" t="s">
        <v>779</v>
      </c>
      <c r="D113" s="2" t="s">
        <v>730</v>
      </c>
      <c r="E113" s="2" t="s">
        <v>324</v>
      </c>
      <c r="F113" s="2" t="s">
        <v>323</v>
      </c>
      <c r="G113" s="2" t="s">
        <v>0</v>
      </c>
      <c r="H113" s="2" t="s">
        <v>780</v>
      </c>
      <c r="I113" s="2" t="s">
        <v>732</v>
      </c>
      <c r="J113" s="2" t="s">
        <v>781</v>
      </c>
      <c r="K113" s="2" t="s">
        <v>782</v>
      </c>
      <c r="L113" s="2" t="s">
        <v>27</v>
      </c>
      <c r="M113" s="2" t="s">
        <v>30</v>
      </c>
      <c r="N113" s="2" t="s">
        <v>29</v>
      </c>
      <c r="O113" s="2" t="s">
        <v>325</v>
      </c>
      <c r="P113" s="2" t="s">
        <v>97</v>
      </c>
      <c r="Q113" s="2" t="s">
        <v>763</v>
      </c>
      <c r="R113" s="2" t="s">
        <v>764</v>
      </c>
      <c r="S113" s="2" t="s">
        <v>0</v>
      </c>
      <c r="T113" s="2" t="s">
        <v>0</v>
      </c>
      <c r="U113" s="2" t="s">
        <v>0</v>
      </c>
      <c r="V113" s="2" t="s">
        <v>0</v>
      </c>
      <c r="W113" s="2" t="s">
        <v>0</v>
      </c>
      <c r="X113" s="8" t="s">
        <v>0</v>
      </c>
      <c r="Y113" s="8" t="s">
        <v>0</v>
      </c>
      <c r="Z113" s="8" t="s">
        <v>0</v>
      </c>
      <c r="AA113" s="8" t="s">
        <v>0</v>
      </c>
      <c r="AB113" s="8" t="s">
        <v>0</v>
      </c>
      <c r="AC113" s="8" t="s">
        <v>0</v>
      </c>
      <c r="AD113" s="8" t="s">
        <v>0</v>
      </c>
      <c r="AE113" s="8" t="s">
        <v>0</v>
      </c>
      <c r="AF113" s="8" t="s">
        <v>0</v>
      </c>
      <c r="AG113" s="8" t="s">
        <v>0</v>
      </c>
      <c r="AH113" s="8" t="s">
        <v>0</v>
      </c>
    </row>
    <row r="114" spans="1:34" ht="33.75">
      <c r="A114" s="2" t="s">
        <v>92</v>
      </c>
      <c r="B114" s="2">
        <v>2</v>
      </c>
      <c r="C114" s="2" t="s">
        <v>896</v>
      </c>
      <c r="D114" s="2" t="s">
        <v>730</v>
      </c>
      <c r="E114" s="2" t="s">
        <v>312</v>
      </c>
      <c r="F114" s="2" t="s">
        <v>311</v>
      </c>
      <c r="G114" s="2" t="s">
        <v>0</v>
      </c>
      <c r="H114" s="2" t="s">
        <v>835</v>
      </c>
      <c r="I114" s="2" t="s">
        <v>732</v>
      </c>
      <c r="J114" s="2" t="s">
        <v>836</v>
      </c>
      <c r="K114" s="2" t="s">
        <v>837</v>
      </c>
      <c r="L114" s="2" t="s">
        <v>27</v>
      </c>
      <c r="M114" s="2" t="s">
        <v>30</v>
      </c>
      <c r="N114" s="2" t="s">
        <v>29</v>
      </c>
      <c r="O114" s="2" t="s">
        <v>313</v>
      </c>
      <c r="P114" s="2" t="s">
        <v>97</v>
      </c>
      <c r="Q114" s="2" t="s">
        <v>819</v>
      </c>
      <c r="R114" s="2" t="s">
        <v>820</v>
      </c>
      <c r="S114" s="2" t="s">
        <v>0</v>
      </c>
      <c r="T114" s="2" t="s">
        <v>0</v>
      </c>
      <c r="U114" s="2" t="s">
        <v>0</v>
      </c>
      <c r="V114" s="2" t="s">
        <v>0</v>
      </c>
      <c r="W114" s="2" t="s">
        <v>0</v>
      </c>
      <c r="X114" s="8" t="s">
        <v>0</v>
      </c>
      <c r="Y114" s="8" t="s">
        <v>0</v>
      </c>
      <c r="Z114" s="8" t="s">
        <v>0</v>
      </c>
      <c r="AA114" s="8" t="s">
        <v>0</v>
      </c>
      <c r="AB114" s="8" t="s">
        <v>0</v>
      </c>
      <c r="AC114" s="8" t="s">
        <v>0</v>
      </c>
      <c r="AD114" s="8" t="s">
        <v>0</v>
      </c>
      <c r="AE114" s="8" t="s">
        <v>0</v>
      </c>
      <c r="AF114" s="8" t="s">
        <v>0</v>
      </c>
      <c r="AG114" s="8" t="s">
        <v>0</v>
      </c>
      <c r="AH114" s="8" t="s">
        <v>0</v>
      </c>
    </row>
    <row r="115" spans="1:34" ht="33.75">
      <c r="A115" s="2" t="s">
        <v>92</v>
      </c>
      <c r="B115" s="2">
        <v>2</v>
      </c>
      <c r="C115" s="2" t="s">
        <v>897</v>
      </c>
      <c r="D115" s="2" t="s">
        <v>730</v>
      </c>
      <c r="E115" s="2" t="s">
        <v>95</v>
      </c>
      <c r="F115" s="2" t="s">
        <v>94</v>
      </c>
      <c r="G115" s="2" t="s">
        <v>0</v>
      </c>
      <c r="H115" s="2" t="s">
        <v>738</v>
      </c>
      <c r="I115" s="2" t="s">
        <v>732</v>
      </c>
      <c r="J115" s="2" t="s">
        <v>739</v>
      </c>
      <c r="K115" s="2" t="s">
        <v>740</v>
      </c>
      <c r="L115" s="2" t="s">
        <v>27</v>
      </c>
      <c r="M115" s="2" t="s">
        <v>30</v>
      </c>
      <c r="N115" s="2" t="s">
        <v>29</v>
      </c>
      <c r="O115" s="2" t="s">
        <v>96</v>
      </c>
      <c r="P115" s="2" t="s">
        <v>97</v>
      </c>
      <c r="Q115" s="2" t="s">
        <v>741</v>
      </c>
      <c r="R115" s="2" t="s">
        <v>742</v>
      </c>
      <c r="S115" s="2" t="s">
        <v>0</v>
      </c>
      <c r="T115" s="2" t="s">
        <v>0</v>
      </c>
      <c r="U115" s="2" t="s">
        <v>0</v>
      </c>
      <c r="V115" s="2" t="s">
        <v>0</v>
      </c>
      <c r="W115" s="2" t="s">
        <v>0</v>
      </c>
      <c r="X115" s="8" t="s">
        <v>0</v>
      </c>
      <c r="Y115" s="8" t="s">
        <v>0</v>
      </c>
      <c r="Z115" s="8" t="s">
        <v>0</v>
      </c>
      <c r="AA115" s="8" t="s">
        <v>0</v>
      </c>
      <c r="AB115" s="8" t="s">
        <v>0</v>
      </c>
      <c r="AC115" s="8" t="s">
        <v>0</v>
      </c>
      <c r="AD115" s="8" t="s">
        <v>0</v>
      </c>
      <c r="AE115" s="8" t="s">
        <v>0</v>
      </c>
      <c r="AF115" s="8" t="s">
        <v>0</v>
      </c>
      <c r="AG115" s="8" t="s">
        <v>0</v>
      </c>
      <c r="AH115" s="8" t="s">
        <v>0</v>
      </c>
    </row>
    <row r="116" spans="1:34" ht="33.75">
      <c r="A116" s="2" t="s">
        <v>92</v>
      </c>
      <c r="B116" s="2">
        <v>2</v>
      </c>
      <c r="C116" s="2" t="s">
        <v>897</v>
      </c>
      <c r="D116" s="2" t="s">
        <v>730</v>
      </c>
      <c r="E116" s="2" t="s">
        <v>108</v>
      </c>
      <c r="F116" s="2" t="s">
        <v>107</v>
      </c>
      <c r="G116" s="2" t="s">
        <v>0</v>
      </c>
      <c r="H116" s="2" t="s">
        <v>738</v>
      </c>
      <c r="I116" s="2" t="s">
        <v>732</v>
      </c>
      <c r="J116" s="2" t="s">
        <v>739</v>
      </c>
      <c r="K116" s="2" t="s">
        <v>740</v>
      </c>
      <c r="L116" s="2" t="s">
        <v>27</v>
      </c>
      <c r="M116" s="2" t="s">
        <v>30</v>
      </c>
      <c r="N116" s="2" t="s">
        <v>29</v>
      </c>
      <c r="O116" s="2" t="s">
        <v>109</v>
      </c>
      <c r="P116" s="2" t="s">
        <v>97</v>
      </c>
      <c r="Q116" s="2" t="s">
        <v>743</v>
      </c>
      <c r="R116" s="2" t="s">
        <v>744</v>
      </c>
      <c r="S116" s="2" t="s">
        <v>0</v>
      </c>
      <c r="T116" s="2" t="s">
        <v>0</v>
      </c>
      <c r="U116" s="2" t="s">
        <v>0</v>
      </c>
      <c r="V116" s="2" t="s">
        <v>0</v>
      </c>
      <c r="W116" s="2" t="s">
        <v>0</v>
      </c>
      <c r="X116" s="8" t="s">
        <v>0</v>
      </c>
      <c r="Y116" s="8" t="s">
        <v>0</v>
      </c>
      <c r="Z116" s="8" t="s">
        <v>0</v>
      </c>
      <c r="AA116" s="8" t="s">
        <v>0</v>
      </c>
      <c r="AB116" s="8" t="s">
        <v>0</v>
      </c>
      <c r="AC116" s="8" t="s">
        <v>0</v>
      </c>
      <c r="AD116" s="8" t="s">
        <v>0</v>
      </c>
      <c r="AE116" s="8" t="s">
        <v>0</v>
      </c>
      <c r="AF116" s="8" t="s">
        <v>0</v>
      </c>
      <c r="AG116" s="8" t="s">
        <v>0</v>
      </c>
      <c r="AH116" s="8" t="s">
        <v>0</v>
      </c>
    </row>
    <row r="117" spans="1:34" ht="33.75">
      <c r="A117" s="2" t="s">
        <v>92</v>
      </c>
      <c r="B117" s="2">
        <v>2</v>
      </c>
      <c r="C117" s="2" t="s">
        <v>897</v>
      </c>
      <c r="D117" s="2" t="s">
        <v>730</v>
      </c>
      <c r="E117" s="2" t="s">
        <v>115</v>
      </c>
      <c r="F117" s="2" t="s">
        <v>114</v>
      </c>
      <c r="G117" s="2" t="s">
        <v>0</v>
      </c>
      <c r="H117" s="2" t="s">
        <v>738</v>
      </c>
      <c r="I117" s="2" t="s">
        <v>732</v>
      </c>
      <c r="J117" s="2" t="s">
        <v>739</v>
      </c>
      <c r="K117" s="2" t="s">
        <v>740</v>
      </c>
      <c r="L117" s="2" t="s">
        <v>27</v>
      </c>
      <c r="M117" s="2" t="s">
        <v>30</v>
      </c>
      <c r="N117" s="2" t="s">
        <v>29</v>
      </c>
      <c r="O117" s="2" t="s">
        <v>116</v>
      </c>
      <c r="P117" s="2" t="s">
        <v>97</v>
      </c>
      <c r="Q117" s="2" t="s">
        <v>745</v>
      </c>
      <c r="R117" s="2" t="s">
        <v>746</v>
      </c>
      <c r="S117" s="2" t="s">
        <v>0</v>
      </c>
      <c r="T117" s="2" t="s">
        <v>0</v>
      </c>
      <c r="U117" s="2" t="s">
        <v>0</v>
      </c>
      <c r="V117" s="2" t="s">
        <v>0</v>
      </c>
      <c r="W117" s="2" t="s">
        <v>0</v>
      </c>
      <c r="X117" s="8" t="s">
        <v>0</v>
      </c>
      <c r="Y117" s="8" t="s">
        <v>0</v>
      </c>
      <c r="Z117" s="8" t="s">
        <v>0</v>
      </c>
      <c r="AA117" s="8" t="s">
        <v>0</v>
      </c>
      <c r="AB117" s="8" t="s">
        <v>0</v>
      </c>
      <c r="AC117" s="8" t="s">
        <v>0</v>
      </c>
      <c r="AD117" s="8" t="s">
        <v>0</v>
      </c>
      <c r="AE117" s="8" t="s">
        <v>0</v>
      </c>
      <c r="AF117" s="8" t="s">
        <v>0</v>
      </c>
      <c r="AG117" s="8" t="s">
        <v>0</v>
      </c>
      <c r="AH117" s="8" t="s">
        <v>0</v>
      </c>
    </row>
    <row r="118" spans="1:34" ht="33.75">
      <c r="A118" s="2" t="s">
        <v>92</v>
      </c>
      <c r="B118" s="2">
        <v>2</v>
      </c>
      <c r="C118" s="2" t="s">
        <v>897</v>
      </c>
      <c r="D118" s="2" t="s">
        <v>730</v>
      </c>
      <c r="E118" s="2" t="s">
        <v>200</v>
      </c>
      <c r="F118" s="2" t="s">
        <v>199</v>
      </c>
      <c r="G118" s="2" t="s">
        <v>0</v>
      </c>
      <c r="H118" s="2" t="s">
        <v>738</v>
      </c>
      <c r="I118" s="2" t="s">
        <v>732</v>
      </c>
      <c r="J118" s="2" t="s">
        <v>739</v>
      </c>
      <c r="K118" s="2" t="s">
        <v>740</v>
      </c>
      <c r="L118" s="2" t="s">
        <v>27</v>
      </c>
      <c r="M118" s="2" t="s">
        <v>30</v>
      </c>
      <c r="N118" s="2" t="s">
        <v>29</v>
      </c>
      <c r="O118" s="2" t="s">
        <v>201</v>
      </c>
      <c r="P118" s="2" t="s">
        <v>97</v>
      </c>
      <c r="Q118" s="2" t="s">
        <v>747</v>
      </c>
      <c r="R118" s="2" t="s">
        <v>748</v>
      </c>
      <c r="S118" s="2" t="s">
        <v>0</v>
      </c>
      <c r="T118" s="2" t="s">
        <v>0</v>
      </c>
      <c r="U118" s="2" t="s">
        <v>0</v>
      </c>
      <c r="V118" s="2" t="s">
        <v>0</v>
      </c>
      <c r="W118" s="2" t="s">
        <v>0</v>
      </c>
      <c r="X118" s="8" t="s">
        <v>0</v>
      </c>
      <c r="Y118" s="8" t="s">
        <v>0</v>
      </c>
      <c r="Z118" s="8" t="s">
        <v>0</v>
      </c>
      <c r="AA118" s="8" t="s">
        <v>0</v>
      </c>
      <c r="AB118" s="8" t="s">
        <v>0</v>
      </c>
      <c r="AC118" s="8" t="s">
        <v>0</v>
      </c>
      <c r="AD118" s="8" t="s">
        <v>0</v>
      </c>
      <c r="AE118" s="8" t="s">
        <v>0</v>
      </c>
      <c r="AF118" s="8" t="s">
        <v>0</v>
      </c>
      <c r="AG118" s="8" t="s">
        <v>0</v>
      </c>
      <c r="AH118" s="8" t="s">
        <v>0</v>
      </c>
    </row>
    <row r="119" spans="1:34" ht="33.75">
      <c r="A119" s="2" t="s">
        <v>92</v>
      </c>
      <c r="B119" s="2">
        <v>2</v>
      </c>
      <c r="C119" s="2" t="s">
        <v>897</v>
      </c>
      <c r="D119" s="2" t="s">
        <v>730</v>
      </c>
      <c r="E119" s="2" t="s">
        <v>253</v>
      </c>
      <c r="F119" s="2" t="s">
        <v>252</v>
      </c>
      <c r="G119" s="2" t="s">
        <v>0</v>
      </c>
      <c r="H119" s="2" t="s">
        <v>738</v>
      </c>
      <c r="I119" s="2" t="s">
        <v>732</v>
      </c>
      <c r="J119" s="2" t="s">
        <v>739</v>
      </c>
      <c r="K119" s="2" t="s">
        <v>740</v>
      </c>
      <c r="L119" s="2" t="s">
        <v>27</v>
      </c>
      <c r="M119" s="2" t="s">
        <v>30</v>
      </c>
      <c r="N119" s="2" t="s">
        <v>29</v>
      </c>
      <c r="O119" s="2" t="s">
        <v>254</v>
      </c>
      <c r="P119" s="2" t="s">
        <v>97</v>
      </c>
      <c r="Q119" s="2" t="s">
        <v>749</v>
      </c>
      <c r="R119" s="2" t="s">
        <v>750</v>
      </c>
      <c r="S119" s="2" t="s">
        <v>0</v>
      </c>
      <c r="T119" s="2" t="s">
        <v>0</v>
      </c>
      <c r="U119" s="2" t="s">
        <v>0</v>
      </c>
      <c r="V119" s="2" t="s">
        <v>0</v>
      </c>
      <c r="W119" s="2" t="s">
        <v>0</v>
      </c>
      <c r="X119" s="8" t="s">
        <v>0</v>
      </c>
      <c r="Y119" s="8" t="s">
        <v>0</v>
      </c>
      <c r="Z119" s="8" t="s">
        <v>0</v>
      </c>
      <c r="AA119" s="8" t="s">
        <v>0</v>
      </c>
      <c r="AB119" s="8" t="s">
        <v>0</v>
      </c>
      <c r="AC119" s="8" t="s">
        <v>0</v>
      </c>
      <c r="AD119" s="8" t="s">
        <v>0</v>
      </c>
      <c r="AE119" s="8" t="s">
        <v>0</v>
      </c>
      <c r="AF119" s="8" t="s">
        <v>0</v>
      </c>
      <c r="AG119" s="8" t="s">
        <v>0</v>
      </c>
      <c r="AH119" s="8" t="s">
        <v>0</v>
      </c>
    </row>
    <row r="120" spans="1:34" ht="33.75">
      <c r="A120" s="2" t="s">
        <v>92</v>
      </c>
      <c r="B120" s="2">
        <v>2</v>
      </c>
      <c r="C120" s="2" t="s">
        <v>897</v>
      </c>
      <c r="D120" s="2" t="s">
        <v>730</v>
      </c>
      <c r="E120" s="2" t="s">
        <v>260</v>
      </c>
      <c r="F120" s="2" t="s">
        <v>259</v>
      </c>
      <c r="G120" s="2" t="s">
        <v>0</v>
      </c>
      <c r="H120" s="2" t="s">
        <v>738</v>
      </c>
      <c r="I120" s="2" t="s">
        <v>732</v>
      </c>
      <c r="J120" s="2" t="s">
        <v>739</v>
      </c>
      <c r="K120" s="2" t="s">
        <v>740</v>
      </c>
      <c r="L120" s="2" t="s">
        <v>27</v>
      </c>
      <c r="M120" s="2" t="s">
        <v>30</v>
      </c>
      <c r="N120" s="2" t="s">
        <v>29</v>
      </c>
      <c r="O120" s="2" t="s">
        <v>261</v>
      </c>
      <c r="P120" s="2" t="s">
        <v>97</v>
      </c>
      <c r="Q120" s="2" t="s">
        <v>751</v>
      </c>
      <c r="R120" s="2" t="s">
        <v>752</v>
      </c>
      <c r="S120" s="2" t="s">
        <v>0</v>
      </c>
      <c r="T120" s="2" t="s">
        <v>0</v>
      </c>
      <c r="U120" s="2" t="s">
        <v>0</v>
      </c>
      <c r="V120" s="2" t="s">
        <v>0</v>
      </c>
      <c r="W120" s="2" t="s">
        <v>0</v>
      </c>
      <c r="X120" s="8" t="s">
        <v>0</v>
      </c>
      <c r="Y120" s="8" t="s">
        <v>0</v>
      </c>
      <c r="Z120" s="8" t="s">
        <v>0</v>
      </c>
      <c r="AA120" s="8" t="s">
        <v>0</v>
      </c>
      <c r="AB120" s="8" t="s">
        <v>0</v>
      </c>
      <c r="AC120" s="8" t="s">
        <v>0</v>
      </c>
      <c r="AD120" s="8" t="s">
        <v>0</v>
      </c>
      <c r="AE120" s="8" t="s">
        <v>0</v>
      </c>
      <c r="AF120" s="8" t="s">
        <v>0</v>
      </c>
      <c r="AG120" s="8" t="s">
        <v>0</v>
      </c>
      <c r="AH120" s="8" t="s">
        <v>0</v>
      </c>
    </row>
    <row r="121" spans="1:34" ht="22.5">
      <c r="A121" s="2" t="s">
        <v>121</v>
      </c>
      <c r="B121" s="2">
        <v>1</v>
      </c>
      <c r="C121" s="2" t="s">
        <v>729</v>
      </c>
      <c r="D121" s="2" t="s">
        <v>730</v>
      </c>
      <c r="E121" s="2" t="s">
        <v>247</v>
      </c>
      <c r="F121" s="2" t="s">
        <v>246</v>
      </c>
      <c r="G121" s="2" t="s">
        <v>0</v>
      </c>
      <c r="H121" s="2" t="s">
        <v>731</v>
      </c>
      <c r="I121" s="2" t="s">
        <v>732</v>
      </c>
      <c r="J121" s="2" t="s">
        <v>733</v>
      </c>
      <c r="K121" s="2" t="s">
        <v>734</v>
      </c>
      <c r="L121" s="2" t="s">
        <v>27</v>
      </c>
      <c r="M121" s="2" t="s">
        <v>30</v>
      </c>
      <c r="N121" s="2" t="s">
        <v>29</v>
      </c>
      <c r="O121" s="2" t="s">
        <v>31</v>
      </c>
      <c r="P121" s="2" t="s">
        <v>97</v>
      </c>
      <c r="Q121" s="2" t="s">
        <v>735</v>
      </c>
      <c r="R121" s="2" t="s">
        <v>736</v>
      </c>
      <c r="S121" s="2" t="s">
        <v>0</v>
      </c>
      <c r="T121" s="2" t="s">
        <v>0</v>
      </c>
      <c r="U121" s="2" t="s">
        <v>0</v>
      </c>
      <c r="V121" s="2" t="s">
        <v>0</v>
      </c>
      <c r="W121" s="2" t="s">
        <v>0</v>
      </c>
      <c r="X121" s="8" t="s">
        <v>0</v>
      </c>
      <c r="Y121" s="8" t="s">
        <v>0</v>
      </c>
      <c r="Z121" s="8" t="s">
        <v>0</v>
      </c>
      <c r="AA121" s="8" t="s">
        <v>0</v>
      </c>
      <c r="AB121" s="8" t="s">
        <v>0</v>
      </c>
      <c r="AC121" s="8" t="s">
        <v>0</v>
      </c>
      <c r="AD121" s="8" t="s">
        <v>0</v>
      </c>
      <c r="AE121" s="8" t="s">
        <v>0</v>
      </c>
      <c r="AF121" s="8" t="s">
        <v>0</v>
      </c>
      <c r="AG121" s="8" t="s">
        <v>0</v>
      </c>
      <c r="AH121" s="8" t="s">
        <v>0</v>
      </c>
    </row>
    <row r="122" spans="1:34" ht="67.5">
      <c r="A122" s="2" t="s">
        <v>92</v>
      </c>
      <c r="B122" s="2">
        <v>1</v>
      </c>
      <c r="C122" s="2" t="s">
        <v>902</v>
      </c>
      <c r="D122" s="2" t="s">
        <v>730</v>
      </c>
      <c r="E122" s="2" t="s">
        <v>95</v>
      </c>
      <c r="F122" s="2" t="s">
        <v>94</v>
      </c>
      <c r="G122" s="2" t="s">
        <v>0</v>
      </c>
      <c r="H122" s="2" t="s">
        <v>754</v>
      </c>
      <c r="I122" s="2" t="s">
        <v>723</v>
      </c>
      <c r="J122" s="2" t="s">
        <v>755</v>
      </c>
      <c r="K122" s="2" t="s">
        <v>756</v>
      </c>
      <c r="L122" s="2" t="s">
        <v>27</v>
      </c>
      <c r="M122" s="2" t="s">
        <v>30</v>
      </c>
      <c r="N122" s="2" t="s">
        <v>29</v>
      </c>
      <c r="O122" s="2" t="s">
        <v>96</v>
      </c>
      <c r="P122" s="2" t="s">
        <v>97</v>
      </c>
      <c r="Q122" s="2" t="s">
        <v>741</v>
      </c>
      <c r="R122" s="2" t="s">
        <v>742</v>
      </c>
      <c r="S122" s="2" t="s">
        <v>0</v>
      </c>
      <c r="T122" s="2" t="s">
        <v>0</v>
      </c>
      <c r="U122" s="2" t="s">
        <v>0</v>
      </c>
      <c r="V122" s="2" t="s">
        <v>0</v>
      </c>
      <c r="W122" s="2" t="s">
        <v>0</v>
      </c>
      <c r="X122" s="8" t="s">
        <v>0</v>
      </c>
      <c r="Y122" s="8" t="s">
        <v>0</v>
      </c>
      <c r="Z122" s="8" t="s">
        <v>0</v>
      </c>
      <c r="AA122" s="8" t="s">
        <v>0</v>
      </c>
      <c r="AB122" s="8" t="s">
        <v>0</v>
      </c>
      <c r="AC122" s="8" t="s">
        <v>0</v>
      </c>
      <c r="AD122" s="8" t="s">
        <v>0</v>
      </c>
      <c r="AE122" s="8" t="s">
        <v>0</v>
      </c>
      <c r="AF122" s="8" t="s">
        <v>0</v>
      </c>
      <c r="AG122" s="8" t="s">
        <v>0</v>
      </c>
      <c r="AH122" s="8" t="s">
        <v>0</v>
      </c>
    </row>
    <row r="123" spans="1:34" ht="67.5">
      <c r="A123" s="2" t="s">
        <v>92</v>
      </c>
      <c r="B123" s="2">
        <v>1</v>
      </c>
      <c r="C123" s="2" t="s">
        <v>902</v>
      </c>
      <c r="D123" s="2" t="s">
        <v>730</v>
      </c>
      <c r="E123" s="2" t="s">
        <v>108</v>
      </c>
      <c r="F123" s="2" t="s">
        <v>107</v>
      </c>
      <c r="G123" s="2" t="s">
        <v>0</v>
      </c>
      <c r="H123" s="2" t="s">
        <v>754</v>
      </c>
      <c r="I123" s="2" t="s">
        <v>723</v>
      </c>
      <c r="J123" s="2" t="s">
        <v>755</v>
      </c>
      <c r="K123" s="2" t="s">
        <v>756</v>
      </c>
      <c r="L123" s="2" t="s">
        <v>27</v>
      </c>
      <c r="M123" s="2" t="s">
        <v>30</v>
      </c>
      <c r="N123" s="2" t="s">
        <v>29</v>
      </c>
      <c r="O123" s="2" t="s">
        <v>109</v>
      </c>
      <c r="P123" s="2" t="s">
        <v>97</v>
      </c>
      <c r="Q123" s="2" t="s">
        <v>743</v>
      </c>
      <c r="R123" s="2" t="s">
        <v>744</v>
      </c>
      <c r="S123" s="2" t="s">
        <v>0</v>
      </c>
      <c r="T123" s="2" t="s">
        <v>0</v>
      </c>
      <c r="U123" s="2" t="s">
        <v>0</v>
      </c>
      <c r="V123" s="2" t="s">
        <v>0</v>
      </c>
      <c r="W123" s="2" t="s">
        <v>0</v>
      </c>
      <c r="X123" s="8" t="s">
        <v>0</v>
      </c>
      <c r="Y123" s="8" t="s">
        <v>0</v>
      </c>
      <c r="Z123" s="8" t="s">
        <v>0</v>
      </c>
      <c r="AA123" s="8" t="s">
        <v>0</v>
      </c>
      <c r="AB123" s="8" t="s">
        <v>0</v>
      </c>
      <c r="AC123" s="8" t="s">
        <v>0</v>
      </c>
      <c r="AD123" s="8" t="s">
        <v>0</v>
      </c>
      <c r="AE123" s="8" t="s">
        <v>0</v>
      </c>
      <c r="AF123" s="8" t="s">
        <v>0</v>
      </c>
      <c r="AG123" s="8" t="s">
        <v>0</v>
      </c>
      <c r="AH123" s="8" t="s">
        <v>0</v>
      </c>
    </row>
    <row r="124" spans="1:34" ht="67.5">
      <c r="A124" s="2" t="s">
        <v>92</v>
      </c>
      <c r="B124" s="2">
        <v>1</v>
      </c>
      <c r="C124" s="2" t="s">
        <v>902</v>
      </c>
      <c r="D124" s="2" t="s">
        <v>730</v>
      </c>
      <c r="E124" s="2" t="s">
        <v>115</v>
      </c>
      <c r="F124" s="2" t="s">
        <v>114</v>
      </c>
      <c r="G124" s="2" t="s">
        <v>0</v>
      </c>
      <c r="H124" s="2" t="s">
        <v>754</v>
      </c>
      <c r="I124" s="2" t="s">
        <v>723</v>
      </c>
      <c r="J124" s="2" t="s">
        <v>755</v>
      </c>
      <c r="K124" s="2" t="s">
        <v>756</v>
      </c>
      <c r="L124" s="2" t="s">
        <v>27</v>
      </c>
      <c r="M124" s="2" t="s">
        <v>30</v>
      </c>
      <c r="N124" s="2" t="s">
        <v>29</v>
      </c>
      <c r="O124" s="2" t="s">
        <v>116</v>
      </c>
      <c r="P124" s="2" t="s">
        <v>97</v>
      </c>
      <c r="Q124" s="2" t="s">
        <v>745</v>
      </c>
      <c r="R124" s="2" t="s">
        <v>746</v>
      </c>
      <c r="S124" s="2" t="s">
        <v>0</v>
      </c>
      <c r="T124" s="2" t="s">
        <v>0</v>
      </c>
      <c r="U124" s="2" t="s">
        <v>0</v>
      </c>
      <c r="V124" s="2" t="s">
        <v>0</v>
      </c>
      <c r="W124" s="2" t="s">
        <v>0</v>
      </c>
      <c r="X124" s="8" t="s">
        <v>0</v>
      </c>
      <c r="Y124" s="8" t="s">
        <v>0</v>
      </c>
      <c r="Z124" s="8" t="s">
        <v>0</v>
      </c>
      <c r="AA124" s="8" t="s">
        <v>0</v>
      </c>
      <c r="AB124" s="8" t="s">
        <v>0</v>
      </c>
      <c r="AC124" s="8" t="s">
        <v>0</v>
      </c>
      <c r="AD124" s="8" t="s">
        <v>0</v>
      </c>
      <c r="AE124" s="8" t="s">
        <v>0</v>
      </c>
      <c r="AF124" s="8" t="s">
        <v>0</v>
      </c>
      <c r="AG124" s="8" t="s">
        <v>0</v>
      </c>
      <c r="AH124" s="8" t="s">
        <v>0</v>
      </c>
    </row>
    <row r="125" spans="1:34" ht="67.5">
      <c r="A125" s="2" t="s">
        <v>121</v>
      </c>
      <c r="B125" s="2">
        <v>1</v>
      </c>
      <c r="C125" s="2" t="s">
        <v>902</v>
      </c>
      <c r="D125" s="2" t="s">
        <v>730</v>
      </c>
      <c r="E125" s="2" t="s">
        <v>193</v>
      </c>
      <c r="F125" s="2" t="s">
        <v>192</v>
      </c>
      <c r="G125" s="2" t="s">
        <v>0</v>
      </c>
      <c r="H125" s="2" t="s">
        <v>754</v>
      </c>
      <c r="I125" s="2" t="s">
        <v>723</v>
      </c>
      <c r="J125" s="2" t="s">
        <v>755</v>
      </c>
      <c r="K125" s="2" t="s">
        <v>756</v>
      </c>
      <c r="L125" s="2" t="s">
        <v>27</v>
      </c>
      <c r="M125" s="2" t="s">
        <v>30</v>
      </c>
      <c r="N125" s="2" t="s">
        <v>29</v>
      </c>
      <c r="O125" s="2" t="s">
        <v>194</v>
      </c>
      <c r="P125" s="2" t="s">
        <v>97</v>
      </c>
      <c r="Q125" s="2" t="s">
        <v>757</v>
      </c>
      <c r="R125" s="2" t="s">
        <v>758</v>
      </c>
      <c r="S125" s="2" t="s">
        <v>0</v>
      </c>
      <c r="T125" s="2" t="s">
        <v>0</v>
      </c>
      <c r="U125" s="2" t="s">
        <v>0</v>
      </c>
      <c r="V125" s="2" t="s">
        <v>0</v>
      </c>
      <c r="W125" s="2" t="s">
        <v>0</v>
      </c>
      <c r="X125" s="8" t="s">
        <v>0</v>
      </c>
      <c r="Y125" s="8" t="s">
        <v>0</v>
      </c>
      <c r="Z125" s="8" t="s">
        <v>0</v>
      </c>
      <c r="AA125" s="8" t="s">
        <v>0</v>
      </c>
      <c r="AB125" s="8" t="s">
        <v>0</v>
      </c>
      <c r="AC125" s="8" t="s">
        <v>0</v>
      </c>
      <c r="AD125" s="8" t="s">
        <v>0</v>
      </c>
      <c r="AE125" s="8" t="s">
        <v>0</v>
      </c>
      <c r="AF125" s="8" t="s">
        <v>0</v>
      </c>
      <c r="AG125" s="8" t="s">
        <v>0</v>
      </c>
      <c r="AH125" s="8" t="s">
        <v>0</v>
      </c>
    </row>
    <row r="126" spans="1:34" ht="67.5">
      <c r="A126" s="2" t="s">
        <v>92</v>
      </c>
      <c r="B126" s="2">
        <v>1</v>
      </c>
      <c r="C126" s="2" t="s">
        <v>902</v>
      </c>
      <c r="D126" s="2" t="s">
        <v>730</v>
      </c>
      <c r="E126" s="2" t="s">
        <v>200</v>
      </c>
      <c r="F126" s="2" t="s">
        <v>199</v>
      </c>
      <c r="G126" s="2" t="s">
        <v>0</v>
      </c>
      <c r="H126" s="2" t="s">
        <v>754</v>
      </c>
      <c r="I126" s="2" t="s">
        <v>723</v>
      </c>
      <c r="J126" s="2" t="s">
        <v>755</v>
      </c>
      <c r="K126" s="2" t="s">
        <v>756</v>
      </c>
      <c r="L126" s="2" t="s">
        <v>27</v>
      </c>
      <c r="M126" s="2" t="s">
        <v>30</v>
      </c>
      <c r="N126" s="2" t="s">
        <v>29</v>
      </c>
      <c r="O126" s="2" t="s">
        <v>201</v>
      </c>
      <c r="P126" s="2" t="s">
        <v>97</v>
      </c>
      <c r="Q126" s="2" t="s">
        <v>747</v>
      </c>
      <c r="R126" s="2" t="s">
        <v>748</v>
      </c>
      <c r="S126" s="2" t="s">
        <v>0</v>
      </c>
      <c r="T126" s="2" t="s">
        <v>0</v>
      </c>
      <c r="U126" s="2" t="s">
        <v>0</v>
      </c>
      <c r="V126" s="2" t="s">
        <v>0</v>
      </c>
      <c r="W126" s="2" t="s">
        <v>0</v>
      </c>
      <c r="X126" s="8" t="s">
        <v>0</v>
      </c>
      <c r="Y126" s="8" t="s">
        <v>0</v>
      </c>
      <c r="Z126" s="8" t="s">
        <v>0</v>
      </c>
      <c r="AA126" s="8" t="s">
        <v>0</v>
      </c>
      <c r="AB126" s="8" t="s">
        <v>0</v>
      </c>
      <c r="AC126" s="8" t="s">
        <v>0</v>
      </c>
      <c r="AD126" s="8" t="s">
        <v>0</v>
      </c>
      <c r="AE126" s="8" t="s">
        <v>0</v>
      </c>
      <c r="AF126" s="8" t="s">
        <v>0</v>
      </c>
      <c r="AG126" s="8" t="s">
        <v>0</v>
      </c>
      <c r="AH126" s="8" t="s">
        <v>0</v>
      </c>
    </row>
    <row r="127" spans="1:34" ht="67.5">
      <c r="A127" s="2" t="s">
        <v>121</v>
      </c>
      <c r="B127" s="2">
        <v>1</v>
      </c>
      <c r="C127" s="2" t="s">
        <v>902</v>
      </c>
      <c r="D127" s="2" t="s">
        <v>730</v>
      </c>
      <c r="E127" s="2" t="s">
        <v>221</v>
      </c>
      <c r="F127" s="2" t="s">
        <v>220</v>
      </c>
      <c r="G127" s="2" t="s">
        <v>0</v>
      </c>
      <c r="H127" s="2" t="s">
        <v>754</v>
      </c>
      <c r="I127" s="2" t="s">
        <v>723</v>
      </c>
      <c r="J127" s="2" t="s">
        <v>755</v>
      </c>
      <c r="K127" s="2" t="s">
        <v>756</v>
      </c>
      <c r="L127" s="2" t="s">
        <v>27</v>
      </c>
      <c r="M127" s="2" t="s">
        <v>30</v>
      </c>
      <c r="N127" s="2" t="s">
        <v>29</v>
      </c>
      <c r="O127" s="2" t="s">
        <v>222</v>
      </c>
      <c r="P127" s="2" t="s">
        <v>97</v>
      </c>
      <c r="Q127" s="2" t="s">
        <v>759</v>
      </c>
      <c r="R127" s="2" t="s">
        <v>760</v>
      </c>
      <c r="S127" s="2" t="s">
        <v>0</v>
      </c>
      <c r="T127" s="2" t="s">
        <v>0</v>
      </c>
      <c r="U127" s="2" t="s">
        <v>0</v>
      </c>
      <c r="V127" s="2" t="s">
        <v>0</v>
      </c>
      <c r="W127" s="2" t="s">
        <v>0</v>
      </c>
      <c r="X127" s="8" t="s">
        <v>0</v>
      </c>
      <c r="Y127" s="8" t="s">
        <v>0</v>
      </c>
      <c r="Z127" s="8" t="s">
        <v>0</v>
      </c>
      <c r="AA127" s="8" t="s">
        <v>0</v>
      </c>
      <c r="AB127" s="8" t="s">
        <v>0</v>
      </c>
      <c r="AC127" s="8" t="s">
        <v>0</v>
      </c>
      <c r="AD127" s="8" t="s">
        <v>0</v>
      </c>
      <c r="AE127" s="8" t="s">
        <v>0</v>
      </c>
      <c r="AF127" s="8" t="s">
        <v>0</v>
      </c>
      <c r="AG127" s="8" t="s">
        <v>0</v>
      </c>
      <c r="AH127" s="8" t="s">
        <v>0</v>
      </c>
    </row>
    <row r="128" spans="1:34" ht="67.5">
      <c r="A128" s="2" t="s">
        <v>121</v>
      </c>
      <c r="B128" s="2">
        <v>1</v>
      </c>
      <c r="C128" s="2" t="s">
        <v>902</v>
      </c>
      <c r="D128" s="2" t="s">
        <v>730</v>
      </c>
      <c r="E128" s="2" t="s">
        <v>228</v>
      </c>
      <c r="F128" s="2" t="s">
        <v>227</v>
      </c>
      <c r="G128" s="2" t="s">
        <v>0</v>
      </c>
      <c r="H128" s="2" t="s">
        <v>754</v>
      </c>
      <c r="I128" s="2" t="s">
        <v>723</v>
      </c>
      <c r="J128" s="2" t="s">
        <v>755</v>
      </c>
      <c r="K128" s="2" t="s">
        <v>756</v>
      </c>
      <c r="L128" s="2" t="s">
        <v>27</v>
      </c>
      <c r="M128" s="2" t="s">
        <v>30</v>
      </c>
      <c r="N128" s="2" t="s">
        <v>29</v>
      </c>
      <c r="O128" s="2" t="s">
        <v>229</v>
      </c>
      <c r="P128" s="2" t="s">
        <v>97</v>
      </c>
      <c r="Q128" s="2" t="s">
        <v>761</v>
      </c>
      <c r="R128" s="2" t="s">
        <v>762</v>
      </c>
      <c r="S128" s="2" t="s">
        <v>0</v>
      </c>
      <c r="T128" s="2" t="s">
        <v>0</v>
      </c>
      <c r="U128" s="2" t="s">
        <v>0</v>
      </c>
      <c r="V128" s="2" t="s">
        <v>0</v>
      </c>
      <c r="W128" s="2" t="s">
        <v>0</v>
      </c>
      <c r="X128" s="8" t="s">
        <v>0</v>
      </c>
      <c r="Y128" s="8" t="s">
        <v>0</v>
      </c>
      <c r="Z128" s="8" t="s">
        <v>0</v>
      </c>
      <c r="AA128" s="8" t="s">
        <v>0</v>
      </c>
      <c r="AB128" s="8" t="s">
        <v>0</v>
      </c>
      <c r="AC128" s="8" t="s">
        <v>0</v>
      </c>
      <c r="AD128" s="8" t="s">
        <v>0</v>
      </c>
      <c r="AE128" s="8" t="s">
        <v>0</v>
      </c>
      <c r="AF128" s="8" t="s">
        <v>0</v>
      </c>
      <c r="AG128" s="8" t="s">
        <v>0</v>
      </c>
      <c r="AH128" s="8" t="s">
        <v>0</v>
      </c>
    </row>
    <row r="129" spans="1:34" ht="67.5">
      <c r="A129" s="2" t="s">
        <v>92</v>
      </c>
      <c r="B129" s="2">
        <v>1</v>
      </c>
      <c r="C129" s="2" t="s">
        <v>902</v>
      </c>
      <c r="D129" s="2" t="s">
        <v>730</v>
      </c>
      <c r="E129" s="2" t="s">
        <v>260</v>
      </c>
      <c r="F129" s="2" t="s">
        <v>259</v>
      </c>
      <c r="G129" s="2" t="s">
        <v>0</v>
      </c>
      <c r="H129" s="2" t="s">
        <v>754</v>
      </c>
      <c r="I129" s="2" t="s">
        <v>723</v>
      </c>
      <c r="J129" s="2" t="s">
        <v>755</v>
      </c>
      <c r="K129" s="2" t="s">
        <v>756</v>
      </c>
      <c r="L129" s="2" t="s">
        <v>27</v>
      </c>
      <c r="M129" s="2" t="s">
        <v>30</v>
      </c>
      <c r="N129" s="2" t="s">
        <v>29</v>
      </c>
      <c r="O129" s="2" t="s">
        <v>261</v>
      </c>
      <c r="P129" s="2" t="s">
        <v>97</v>
      </c>
      <c r="Q129" s="2" t="s">
        <v>751</v>
      </c>
      <c r="R129" s="2" t="s">
        <v>752</v>
      </c>
      <c r="S129" s="2" t="s">
        <v>0</v>
      </c>
      <c r="T129" s="2" t="s">
        <v>0</v>
      </c>
      <c r="U129" s="2" t="s">
        <v>0</v>
      </c>
      <c r="V129" s="2" t="s">
        <v>0</v>
      </c>
      <c r="W129" s="2" t="s">
        <v>0</v>
      </c>
      <c r="X129" s="8" t="s">
        <v>0</v>
      </c>
      <c r="Y129" s="8" t="s">
        <v>0</v>
      </c>
      <c r="Z129" s="8" t="s">
        <v>0</v>
      </c>
      <c r="AA129" s="8" t="s">
        <v>0</v>
      </c>
      <c r="AB129" s="8" t="s">
        <v>0</v>
      </c>
      <c r="AC129" s="8" t="s">
        <v>0</v>
      </c>
      <c r="AD129" s="8" t="s">
        <v>0</v>
      </c>
      <c r="AE129" s="8" t="s">
        <v>0</v>
      </c>
      <c r="AF129" s="8" t="s">
        <v>0</v>
      </c>
      <c r="AG129" s="8" t="s">
        <v>0</v>
      </c>
      <c r="AH129" s="8" t="s">
        <v>0</v>
      </c>
    </row>
    <row r="130" spans="1:34" ht="67.5">
      <c r="A130" s="2" t="s">
        <v>121</v>
      </c>
      <c r="B130" s="2">
        <v>1</v>
      </c>
      <c r="C130" s="2" t="s">
        <v>902</v>
      </c>
      <c r="D130" s="2" t="s">
        <v>730</v>
      </c>
      <c r="E130" s="2" t="s">
        <v>324</v>
      </c>
      <c r="F130" s="2" t="s">
        <v>323</v>
      </c>
      <c r="G130" s="2" t="s">
        <v>0</v>
      </c>
      <c r="H130" s="2" t="s">
        <v>754</v>
      </c>
      <c r="I130" s="2" t="s">
        <v>723</v>
      </c>
      <c r="J130" s="2" t="s">
        <v>755</v>
      </c>
      <c r="K130" s="2" t="s">
        <v>756</v>
      </c>
      <c r="L130" s="2" t="s">
        <v>27</v>
      </c>
      <c r="M130" s="2" t="s">
        <v>30</v>
      </c>
      <c r="N130" s="2" t="s">
        <v>29</v>
      </c>
      <c r="O130" s="2" t="s">
        <v>325</v>
      </c>
      <c r="P130" s="2" t="s">
        <v>97</v>
      </c>
      <c r="Q130" s="2" t="s">
        <v>763</v>
      </c>
      <c r="R130" s="2" t="s">
        <v>764</v>
      </c>
      <c r="S130" s="2" t="s">
        <v>0</v>
      </c>
      <c r="T130" s="2" t="s">
        <v>0</v>
      </c>
      <c r="U130" s="2" t="s">
        <v>0</v>
      </c>
      <c r="V130" s="2" t="s">
        <v>0</v>
      </c>
      <c r="W130" s="2" t="s">
        <v>0</v>
      </c>
      <c r="X130" s="8" t="s">
        <v>0</v>
      </c>
      <c r="Y130" s="8" t="s">
        <v>0</v>
      </c>
      <c r="Z130" s="8" t="s">
        <v>0</v>
      </c>
      <c r="AA130" s="8" t="s">
        <v>0</v>
      </c>
      <c r="AB130" s="8" t="s">
        <v>0</v>
      </c>
      <c r="AC130" s="8" t="s">
        <v>0</v>
      </c>
      <c r="AD130" s="8" t="s">
        <v>0</v>
      </c>
      <c r="AE130" s="8" t="s">
        <v>0</v>
      </c>
      <c r="AF130" s="8" t="s">
        <v>0</v>
      </c>
      <c r="AG130" s="8" t="s">
        <v>0</v>
      </c>
      <c r="AH130" s="8" t="s">
        <v>0</v>
      </c>
    </row>
    <row r="131" spans="1:34" ht="22.5">
      <c r="A131" s="2" t="s">
        <v>92</v>
      </c>
      <c r="B131" s="2">
        <v>0</v>
      </c>
      <c r="C131" s="2" t="s">
        <v>904</v>
      </c>
      <c r="D131" s="2" t="s">
        <v>721</v>
      </c>
      <c r="E131" s="2" t="s">
        <v>375</v>
      </c>
      <c r="F131" s="2" t="s">
        <v>376</v>
      </c>
      <c r="G131" s="2" t="s">
        <v>0</v>
      </c>
      <c r="H131" s="2" t="s">
        <v>722</v>
      </c>
      <c r="I131" s="2" t="s">
        <v>723</v>
      </c>
      <c r="J131" s="2" t="s">
        <v>724</v>
      </c>
      <c r="K131" s="2" t="s">
        <v>725</v>
      </c>
      <c r="L131" s="2" t="s">
        <v>27</v>
      </c>
      <c r="M131" s="2" t="s">
        <v>30</v>
      </c>
      <c r="N131" s="2" t="s">
        <v>29</v>
      </c>
      <c r="O131" s="2" t="s">
        <v>0</v>
      </c>
      <c r="P131" s="2" t="s">
        <v>97</v>
      </c>
      <c r="Q131" s="2" t="s">
        <v>0</v>
      </c>
      <c r="R131" s="2" t="s">
        <v>0</v>
      </c>
      <c r="S131" s="2" t="s">
        <v>0</v>
      </c>
      <c r="T131" s="2" t="s">
        <v>0</v>
      </c>
      <c r="U131" s="2" t="s">
        <v>0</v>
      </c>
      <c r="V131" s="2" t="s">
        <v>0</v>
      </c>
      <c r="W131" s="2" t="s">
        <v>0</v>
      </c>
      <c r="X131" s="8" t="s">
        <v>0</v>
      </c>
      <c r="Y131" s="8" t="s">
        <v>0</v>
      </c>
      <c r="Z131" s="8" t="s">
        <v>0</v>
      </c>
      <c r="AA131" s="8" t="s">
        <v>0</v>
      </c>
      <c r="AB131" s="8" t="s">
        <v>0</v>
      </c>
      <c r="AC131" s="8" t="s">
        <v>0</v>
      </c>
      <c r="AD131" s="8" t="s">
        <v>0</v>
      </c>
      <c r="AE131" s="8" t="s">
        <v>0</v>
      </c>
      <c r="AF131" s="8" t="s">
        <v>0</v>
      </c>
      <c r="AG131" s="8" t="s">
        <v>0</v>
      </c>
      <c r="AH131" s="8" t="s">
        <v>0</v>
      </c>
    </row>
    <row r="132" spans="1:34" ht="22.5">
      <c r="A132" s="2" t="s">
        <v>121</v>
      </c>
      <c r="B132" s="2">
        <v>0</v>
      </c>
      <c r="C132" s="2" t="s">
        <v>726</v>
      </c>
      <c r="D132" s="2" t="s">
        <v>721</v>
      </c>
      <c r="E132" s="2" t="s">
        <v>384</v>
      </c>
      <c r="F132" s="2" t="s">
        <v>385</v>
      </c>
      <c r="G132" s="2" t="s">
        <v>388</v>
      </c>
      <c r="H132" s="2" t="s">
        <v>727</v>
      </c>
      <c r="I132" s="2" t="s">
        <v>723</v>
      </c>
      <c r="J132" s="2" t="s">
        <v>728</v>
      </c>
      <c r="K132" s="2" t="s">
        <v>725</v>
      </c>
      <c r="L132" s="2" t="s">
        <v>27</v>
      </c>
      <c r="M132" s="2" t="s">
        <v>30</v>
      </c>
      <c r="N132" s="2" t="s">
        <v>29</v>
      </c>
      <c r="O132" s="2" t="s">
        <v>0</v>
      </c>
      <c r="P132" s="2" t="s">
        <v>97</v>
      </c>
      <c r="Q132" s="2" t="s">
        <v>0</v>
      </c>
      <c r="R132" s="2" t="s">
        <v>0</v>
      </c>
      <c r="S132" s="2" t="s">
        <v>0</v>
      </c>
      <c r="T132" s="2" t="s">
        <v>0</v>
      </c>
      <c r="U132" s="2" t="s">
        <v>0</v>
      </c>
      <c r="V132" s="2" t="s">
        <v>0</v>
      </c>
      <c r="W132" s="2" t="s">
        <v>0</v>
      </c>
      <c r="X132" s="8" t="s">
        <v>0</v>
      </c>
      <c r="Y132" s="8" t="s">
        <v>0</v>
      </c>
      <c r="Z132" s="8" t="s">
        <v>0</v>
      </c>
      <c r="AA132" s="8" t="s">
        <v>0</v>
      </c>
      <c r="AB132" s="8" t="s">
        <v>0</v>
      </c>
      <c r="AC132" s="8" t="s">
        <v>0</v>
      </c>
      <c r="AD132" s="8" t="s">
        <v>0</v>
      </c>
      <c r="AE132" s="8" t="s">
        <v>0</v>
      </c>
      <c r="AF132" s="8" t="s">
        <v>0</v>
      </c>
      <c r="AG132" s="8" t="s">
        <v>0</v>
      </c>
      <c r="AH132" s="8" t="s">
        <v>0</v>
      </c>
    </row>
    <row r="133" spans="1:34">
      <c r="A133" s="4" t="s">
        <v>857</v>
      </c>
      <c r="B133" s="5" t="s">
        <v>0</v>
      </c>
      <c r="C133" s="5" t="s">
        <v>0</v>
      </c>
      <c r="D133" s="5" t="s">
        <v>0</v>
      </c>
      <c r="E133" s="5" t="s">
        <v>0</v>
      </c>
      <c r="F133" s="5" t="s">
        <v>0</v>
      </c>
      <c r="G133" s="5" t="s">
        <v>0</v>
      </c>
      <c r="H133" s="5" t="s">
        <v>0</v>
      </c>
      <c r="I133" s="5" t="s">
        <v>0</v>
      </c>
      <c r="J133" s="5" t="s">
        <v>0</v>
      </c>
      <c r="K133" s="5" t="s">
        <v>0</v>
      </c>
      <c r="L133" s="5" t="s">
        <v>0</v>
      </c>
      <c r="M133" s="5" t="s">
        <v>0</v>
      </c>
      <c r="N133" s="5" t="s">
        <v>0</v>
      </c>
      <c r="O133" s="5" t="s">
        <v>0</v>
      </c>
      <c r="P133" s="5" t="s">
        <v>0</v>
      </c>
      <c r="Q133" s="5" t="s">
        <v>0</v>
      </c>
      <c r="R133" s="5" t="s">
        <v>0</v>
      </c>
      <c r="S133" s="5" t="s">
        <v>0</v>
      </c>
      <c r="T133" s="5" t="s">
        <v>0</v>
      </c>
      <c r="U133" s="5" t="s">
        <v>0</v>
      </c>
      <c r="V133" s="5" t="s">
        <v>0</v>
      </c>
      <c r="W133" s="5" t="s">
        <v>0</v>
      </c>
      <c r="X133" s="5" t="s">
        <v>0</v>
      </c>
      <c r="Y133" s="5" t="s">
        <v>0</v>
      </c>
      <c r="Z133" s="5" t="s">
        <v>0</v>
      </c>
      <c r="AA133" s="5" t="s">
        <v>0</v>
      </c>
      <c r="AB133" s="5" t="s">
        <v>0</v>
      </c>
      <c r="AC133" s="5" t="s">
        <v>0</v>
      </c>
      <c r="AD133" s="5" t="s">
        <v>0</v>
      </c>
      <c r="AE133" s="5" t="s">
        <v>0</v>
      </c>
      <c r="AF133" s="5" t="s">
        <v>0</v>
      </c>
      <c r="AG133" s="5" t="s">
        <v>0</v>
      </c>
      <c r="AH133" s="5" t="s">
        <v>0</v>
      </c>
    </row>
  </sheetData>
  <autoFilter ref="A1:AH133" xr:uid="{00000000-0009-0000-0000-000004000000}"/>
  <pageMargins left="0.25" right="0.25" top="0.25" bottom="0.25" header="0.3" footer="0.3"/>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8</vt:i4>
      </vt:variant>
    </vt:vector>
  </HeadingPairs>
  <TitlesOfParts>
    <vt:vector size="8" baseType="lpstr">
      <vt:lpstr>Main</vt:lpstr>
      <vt:lpstr>SafeOwner KPIs</vt:lpstr>
      <vt:lpstr>data</vt:lpstr>
      <vt:lpstr>safes</vt:lpstr>
      <vt:lpstr>users</vt:lpstr>
      <vt:lpstr>groups</vt:lpstr>
      <vt:lpstr>credentials</vt:lpstr>
      <vt:lpstr>controldefects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Brainwave Safe Owner Dashboard</dc:title>
  <dc:creator>Brainwave</dc:creator>
  <cp:lastModifiedBy>Sebastien FAIVRE</cp:lastModifiedBy>
  <dcterms:created xsi:type="dcterms:W3CDTF">2022-08-22T09:26:18Z</dcterms:created>
  <dcterms:modified xsi:type="dcterms:W3CDTF">2023-09-01T09:10:11Z</dcterms:modified>
  <cp:category>Created with Brainwave Identity GRC</cp:category>
</cp:coreProperties>
</file>